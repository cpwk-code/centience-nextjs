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All Contacts" sheetId="3" state="visible" r:id="rId3"/>
    <sheet name="Send List" sheetId="4" state="visible" r:id="rId4"/>
  </sheets>
  <definedNames>
    <definedName name="_xlnm._FilterDatabase" localSheetId="2" hidden="1">'All Contacts'!$A$1:$M$171</definedName>
    <definedName name="_xlnm._FilterDatabase" localSheetId="3" hidden="1">'Send List'!$A$1:$M$94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BF8F00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color rgb="00808080"/>
      <sz val="9"/>
    </font>
    <font>
      <name val="Arial"/>
      <b val="1"/>
      <sz val="10"/>
    </font>
    <font>
      <name val="Arial"/>
      <b val="1"/>
      <color rgb="001F3864"/>
      <sz val="11"/>
    </font>
    <font>
      <name val="Arial"/>
      <i val="1"/>
      <color rgb="00808080"/>
      <sz val="9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8" fillId="0" borderId="0" pivotButton="0" quotePrefix="0" xfId="0"/>
    <xf numFmtId="0" fontId="6" fillId="0" borderId="0" pivotButton="0" quotePrefix="0" xfId="0"/>
    <xf numFmtId="0" fontId="4" fillId="5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5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6" borderId="1" pivotButton="0" quotePrefix="0" xfId="0"/>
    <xf numFmtId="0" fontId="10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vick@5pillarscompliance.com" TargetMode="External" Id="rId1" /><Relationship Type="http://schemas.openxmlformats.org/officeDocument/2006/relationships/hyperlink" Target="https://www.linkedin.com/in/vickekizian" TargetMode="External" Id="rId2" /><Relationship Type="http://schemas.openxmlformats.org/officeDocument/2006/relationships/hyperlink" Target="mailto:lisa@abidegrp.com" TargetMode="External" Id="rId3" /><Relationship Type="http://schemas.openxmlformats.org/officeDocument/2006/relationships/hyperlink" Target="https://www.linkedin.com/in/lisaroitman" TargetMode="External" Id="rId4" /><Relationship Type="http://schemas.openxmlformats.org/officeDocument/2006/relationships/hyperlink" Target="https://www.linkedin.com/in/patrickeharris" TargetMode="External" Id="rId5" /><Relationship Type="http://schemas.openxmlformats.org/officeDocument/2006/relationships/hyperlink" Target="mailto:pete@abidegrp.com" TargetMode="External" Id="rId6" /><Relationship Type="http://schemas.openxmlformats.org/officeDocument/2006/relationships/hyperlink" Target="https://www.linkedin.com/in/petegalloway" TargetMode="External" Id="rId7" /><Relationship Type="http://schemas.openxmlformats.org/officeDocument/2006/relationships/hyperlink" Target="mailto:robert.masi@accordo.solutions" TargetMode="External" Id="rId8" /><Relationship Type="http://schemas.openxmlformats.org/officeDocument/2006/relationships/hyperlink" Target="https://www.linkedin.com/in/robert-masi-1a123b8" TargetMode="External" Id="rId9" /><Relationship Type="http://schemas.openxmlformats.org/officeDocument/2006/relationships/hyperlink" Target="mailto:gcasella@outsourcecco.com" TargetMode="External" Id="rId10" /><Relationship Type="http://schemas.openxmlformats.org/officeDocument/2006/relationships/hyperlink" Target="https://www.linkedin.com/in/giselle-casella-62090310" TargetMode="External" Id="rId11" /><Relationship Type="http://schemas.openxmlformats.org/officeDocument/2006/relationships/hyperlink" Target="https://www.linkedin.com/in/stephen-lurie-8b0b371" TargetMode="External" Id="rId12" /><Relationship Type="http://schemas.openxmlformats.org/officeDocument/2006/relationships/hyperlink" Target="mailto:joe@allycompliancepartners.com" TargetMode="External" Id="rId13" /><Relationship Type="http://schemas.openxmlformats.org/officeDocument/2006/relationships/hyperlink" Target="https://www.linkedin.com/in/josephstowell" TargetMode="External" Id="rId14" /><Relationship Type="http://schemas.openxmlformats.org/officeDocument/2006/relationships/hyperlink" Target="mailto:chris@altpilotgroup.com" TargetMode="External" Id="rId15" /><Relationship Type="http://schemas.openxmlformats.org/officeDocument/2006/relationships/hyperlink" Target="https://www.linkedin.com/in/chrishardy2" TargetMode="External" Id="rId16" /><Relationship Type="http://schemas.openxmlformats.org/officeDocument/2006/relationships/hyperlink" Target="mailto:korrine@altpilotgroup.com" TargetMode="External" Id="rId17" /><Relationship Type="http://schemas.openxmlformats.org/officeDocument/2006/relationships/hyperlink" Target="https://www.linkedin.com/in/korrine-kohm-816417a" TargetMode="External" Id="rId18" /><Relationship Type="http://schemas.openxmlformats.org/officeDocument/2006/relationships/hyperlink" Target="mailto:eturner@asgardcompliance.com" TargetMode="External" Id="rId19" /><Relationship Type="http://schemas.openxmlformats.org/officeDocument/2006/relationships/hyperlink" Target="https://www.linkedin.com/in/eden-turner-9b08a487" TargetMode="External" Id="rId20" /><Relationship Type="http://schemas.openxmlformats.org/officeDocument/2006/relationships/hyperlink" Target="mailto:jhurd@asgardcompliance.com" TargetMode="External" Id="rId21" /><Relationship Type="http://schemas.openxmlformats.org/officeDocument/2006/relationships/hyperlink" Target="https://www.linkedin.com/in/jonhurdarg" TargetMode="External" Id="rId22" /><Relationship Type="http://schemas.openxmlformats.org/officeDocument/2006/relationships/hyperlink" Target="mailto:pkane@asgardcompliance.com" TargetMode="External" Id="rId23" /><Relationship Type="http://schemas.openxmlformats.org/officeDocument/2006/relationships/hyperlink" Target="https://www.linkedin.com/in/patrick-kane-7010855" TargetMode="External" Id="rId24" /><Relationship Type="http://schemas.openxmlformats.org/officeDocument/2006/relationships/hyperlink" Target="mailto:jordan@aspectadv.com" TargetMode="External" Id="rId25" /><Relationship Type="http://schemas.openxmlformats.org/officeDocument/2006/relationships/hyperlink" Target="https://www.linkedin.com/in/jordan-jasser-0346b070" TargetMode="External" Id="rId26" /><Relationship Type="http://schemas.openxmlformats.org/officeDocument/2006/relationships/hyperlink" Target="mailto:justin@aspectadv.com" TargetMode="External" Id="rId27" /><Relationship Type="http://schemas.openxmlformats.org/officeDocument/2006/relationships/hyperlink" Target="https://www.linkedin.com/in/justin-schleifer-28852036" TargetMode="External" Id="rId28" /><Relationship Type="http://schemas.openxmlformats.org/officeDocument/2006/relationships/hyperlink" Target="mailto:chris.nowak@augmentaprimegroup.com" TargetMode="External" Id="rId29" /><Relationship Type="http://schemas.openxmlformats.org/officeDocument/2006/relationships/hyperlink" Target="https://www.linkedin.com/in/chris-nowak-cams-cafp-cbp" TargetMode="External" Id="rId30" /><Relationship Type="http://schemas.openxmlformats.org/officeDocument/2006/relationships/hyperlink" Target="mailto:ckelly@chenerycompliance.com" TargetMode="External" Id="rId31" /><Relationship Type="http://schemas.openxmlformats.org/officeDocument/2006/relationships/hyperlink" Target="https://www.linkedin.com/in/colleen-kelly-aif%c2%ae-b2088523" TargetMode="External" Id="rId32" /><Relationship Type="http://schemas.openxmlformats.org/officeDocument/2006/relationships/hyperlink" Target="mailto:cmoreshead@chenerycompliance.com" TargetMode="External" Id="rId33" /><Relationship Type="http://schemas.openxmlformats.org/officeDocument/2006/relationships/hyperlink" Target="https://www.linkedin.com/in/craigmoreshead" TargetMode="External" Id="rId34" /><Relationship Type="http://schemas.openxmlformats.org/officeDocument/2006/relationships/hyperlink" Target="mailto:slittle@chenerycompliance.com" TargetMode="External" Id="rId35" /><Relationship Type="http://schemas.openxmlformats.org/officeDocument/2006/relationships/hyperlink" Target="https://www.linkedin.com/in/stefanie-j-little-b155075" TargetMode="External" Id="rId36" /><Relationship Type="http://schemas.openxmlformats.org/officeDocument/2006/relationships/hyperlink" Target="mailto:tdecain@chenerygroup.com" TargetMode="External" Id="rId37" /><Relationship Type="http://schemas.openxmlformats.org/officeDocument/2006/relationships/hyperlink" Target="https://www.linkedin.com/in/tdecain" TargetMode="External" Id="rId38" /><Relationship Type="http://schemas.openxmlformats.org/officeDocument/2006/relationships/hyperlink" Target="mailto:com@clarity-consultancy.com" TargetMode="External" Id="rId39" /><Relationship Type="http://schemas.openxmlformats.org/officeDocument/2006/relationships/hyperlink" Target="https://www.linkedin.com/in/claire-o-neill-mccleskey" TargetMode="External" Id="rId40" /><Relationship Type="http://schemas.openxmlformats.org/officeDocument/2006/relationships/hyperlink" Target="mailto:david@compliers.com" TargetMode="External" Id="rId41" /><Relationship Type="http://schemas.openxmlformats.org/officeDocument/2006/relationships/hyperlink" Target="https://www.linkedin.com/in/davidjaindlmartin" TargetMode="External" Id="rId42" /><Relationship Type="http://schemas.openxmlformats.org/officeDocument/2006/relationships/hyperlink" Target="mailto:michelle.jacko@corecls.com" TargetMode="External" Id="rId43" /><Relationship Type="http://schemas.openxmlformats.org/officeDocument/2006/relationships/hyperlink" Target="https://www.linkedin.com/in/michellejacko" TargetMode="External" Id="rId44" /><Relationship Type="http://schemas.openxmlformats.org/officeDocument/2006/relationships/hyperlink" Target="mailto:gfox@dfppartners.com" TargetMode="External" Id="rId45" /><Relationship Type="http://schemas.openxmlformats.org/officeDocument/2006/relationships/hyperlink" Target="https://www.linkedin.com/in/garyfox8" TargetMode="External" Id="rId46" /><Relationship Type="http://schemas.openxmlformats.org/officeDocument/2006/relationships/hyperlink" Target="mailto:mglynn@sddco.com" TargetMode="External" Id="rId47" /><Relationship Type="http://schemas.openxmlformats.org/officeDocument/2006/relationships/hyperlink" Target="https://www.linkedin.com/in/michael-glynn-6453575" TargetMode="External" Id="rId48" /><Relationship Type="http://schemas.openxmlformats.org/officeDocument/2006/relationships/hyperlink" Target="mailto:daniel@innreg.com" TargetMode="External" Id="rId49" /><Relationship Type="http://schemas.openxmlformats.org/officeDocument/2006/relationships/hyperlink" Target="https://www.linkedin.com/in/daniel-garcia-b67a1723" TargetMode="External" Id="rId50" /><Relationship Type="http://schemas.openxmlformats.org/officeDocument/2006/relationships/hyperlink" Target="mailto:francesco@innreg.com" TargetMode="External" Id="rId51" /><Relationship Type="http://schemas.openxmlformats.org/officeDocument/2006/relationships/hyperlink" Target="https://www.linkedin.com/in/fmatteini" TargetMode="External" Id="rId52" /><Relationship Type="http://schemas.openxmlformats.org/officeDocument/2006/relationships/hyperlink" Target="mailto:smurphy@icc-comply.com" TargetMode="External" Id="rId53" /><Relationship Type="http://schemas.openxmlformats.org/officeDocument/2006/relationships/hyperlink" Target="https://www.linkedin.com/in/stephen-murphy-cfa-9903874" TargetMode="External" Id="rId54" /><Relationship Type="http://schemas.openxmlformats.org/officeDocument/2006/relationships/hyperlink" Target="mailto:tdavis@integratedcomplianceconsulting.com" TargetMode="External" Id="rId55" /><Relationship Type="http://schemas.openxmlformats.org/officeDocument/2006/relationships/hyperlink" Target="https://www.linkedin.com/in/trish-davis-4a1668298" TargetMode="External" Id="rId56" /><Relationship Type="http://schemas.openxmlformats.org/officeDocument/2006/relationships/hyperlink" Target="mailto:jennifer@jmtcompliance.com" TargetMode="External" Id="rId57" /><Relationship Type="http://schemas.openxmlformats.org/officeDocument/2006/relationships/hyperlink" Target="https://www.linkedin.com/in/jennifermascioli" TargetMode="External" Id="rId58" /><Relationship Type="http://schemas.openxmlformats.org/officeDocument/2006/relationships/hyperlink" Target="mailto:mswendiman@keybridgecompliance.com" TargetMode="External" Id="rId59" /><Relationship Type="http://schemas.openxmlformats.org/officeDocument/2006/relationships/hyperlink" Target="https://www.linkedin.com/in/matthewswendiman" TargetMode="External" Id="rId60" /><Relationship Type="http://schemas.openxmlformats.org/officeDocument/2006/relationships/hyperlink" Target="mailto:luisa@lfprisksolutions.com" TargetMode="External" Id="rId61" /><Relationship Type="http://schemas.openxmlformats.org/officeDocument/2006/relationships/hyperlink" Target="https://www.linkedin.com/in/luisafranco1" TargetMode="External" Id="rId62" /><Relationship Type="http://schemas.openxmlformats.org/officeDocument/2006/relationships/hyperlink" Target="mailto:ken@luxorbd.com" TargetMode="External" Id="rId63" /><Relationship Type="http://schemas.openxmlformats.org/officeDocument/2006/relationships/hyperlink" Target="https://www.linkedin.com/in/kennorensberg" TargetMode="External" Id="rId64" /><Relationship Type="http://schemas.openxmlformats.org/officeDocument/2006/relationships/hyperlink" Target="mailto:gio@thenextreg.com" TargetMode="External" Id="rId65" /><Relationship Type="http://schemas.openxmlformats.org/officeDocument/2006/relationships/hyperlink" Target="https://www.linkedin.com/in/giovannicorrado1" TargetMode="External" Id="rId66" /><Relationship Type="http://schemas.openxmlformats.org/officeDocument/2006/relationships/hyperlink" Target="mailto:vhogan@npcomply.com" TargetMode="External" Id="rId67" /><Relationship Type="http://schemas.openxmlformats.org/officeDocument/2006/relationships/hyperlink" Target="https://www.linkedin.com/in/victoria-g-hogan-cfa-331217a" TargetMode="External" Id="rId68" /><Relationship Type="http://schemas.openxmlformats.org/officeDocument/2006/relationships/hyperlink" Target="mailto:jonathan.saxton@optima-partners.com" TargetMode="External" Id="rId69" /><Relationship Type="http://schemas.openxmlformats.org/officeDocument/2006/relationships/hyperlink" Target="https://www.linkedin.com/in/jonathan-saxton-12588013" TargetMode="External" Id="rId70" /><Relationship Type="http://schemas.openxmlformats.org/officeDocument/2006/relationships/hyperlink" Target="mailto:stephen.boyd@optima-partners.com" TargetMode="External" Id="rId71" /><Relationship Type="http://schemas.openxmlformats.org/officeDocument/2006/relationships/hyperlink" Target="https://www.linkedin.com/in/steve-b-249a2564" TargetMode="External" Id="rId72" /><Relationship Type="http://schemas.openxmlformats.org/officeDocument/2006/relationships/hyperlink" Target="mailto:pawneet@parcsolutionsllc.com" TargetMode="External" Id="rId73" /><Relationship Type="http://schemas.openxmlformats.org/officeDocument/2006/relationships/hyperlink" Target="https://www.linkedin.com/in/pawneet" TargetMode="External" Id="rId74" /><Relationship Type="http://schemas.openxmlformats.org/officeDocument/2006/relationships/hyperlink" Target="mailto:dlombardy@pillarcompliance.com" TargetMode="External" Id="rId75" /><Relationship Type="http://schemas.openxmlformats.org/officeDocument/2006/relationships/hyperlink" Target="https://www.linkedin.com/in/david-lombardy-6472a5" TargetMode="External" Id="rId76" /><Relationship Type="http://schemas.openxmlformats.org/officeDocument/2006/relationships/hyperlink" Target="mailto:crobinson@quadrantregulatory.com" TargetMode="External" Id="rId77" /><Relationship Type="http://schemas.openxmlformats.org/officeDocument/2006/relationships/hyperlink" Target="https://www.linkedin.com/in/calvinarobinson" TargetMode="External" Id="rId78" /><Relationship Type="http://schemas.openxmlformats.org/officeDocument/2006/relationships/hyperlink" Target="mailto:gmarone@quadrantregulatory.com" TargetMode="External" Id="rId79" /><Relationship Type="http://schemas.openxmlformats.org/officeDocument/2006/relationships/hyperlink" Target="https://www.linkedin.com/in/glennmarone" TargetMode="External" Id="rId80" /><Relationship Type="http://schemas.openxmlformats.org/officeDocument/2006/relationships/hyperlink" Target="mailto:npallante@quadrantregulatory.com" TargetMode="External" Id="rId81" /><Relationship Type="http://schemas.openxmlformats.org/officeDocument/2006/relationships/hyperlink" Target="https://www.linkedin.com/in/nicholas-pallante-b938047" TargetMode="External" Id="rId82" /><Relationship Type="http://schemas.openxmlformats.org/officeDocument/2006/relationships/hyperlink" Target="https://www.linkedin.com/in/gerard-clark" TargetMode="External" Id="rId83" /><Relationship Type="http://schemas.openxmlformats.org/officeDocument/2006/relationships/hyperlink" Target="mailto:ivan@riacc.io" TargetMode="External" Id="rId84" /><Relationship Type="http://schemas.openxmlformats.org/officeDocument/2006/relationships/hyperlink" Target="https://www.linkedin.com/in/ivanbarretto30" TargetMode="External" Id="rId85" /><Relationship Type="http://schemas.openxmlformats.org/officeDocument/2006/relationships/hyperlink" Target="https://www.linkedin.com/in/richardrondano" TargetMode="External" Id="rId86" /><Relationship Type="http://schemas.openxmlformats.org/officeDocument/2006/relationships/hyperlink" Target="mailto:agill@rqcgroup.com" TargetMode="External" Id="rId87" /><Relationship Type="http://schemas.openxmlformats.org/officeDocument/2006/relationships/hyperlink" Target="https://www.linkedin.com/in/allison-gill-9860734" TargetMode="External" Id="rId88" /><Relationship Type="http://schemas.openxmlformats.org/officeDocument/2006/relationships/hyperlink" Target="mailto:janaya@sec3compliance.com" TargetMode="External" Id="rId89" /><Relationship Type="http://schemas.openxmlformats.org/officeDocument/2006/relationships/hyperlink" Target="https://www.linkedin.com/in/janayasec3" TargetMode="External" Id="rId90" /><Relationship Type="http://schemas.openxmlformats.org/officeDocument/2006/relationships/hyperlink" Target="mailto:brian@skematic.com" TargetMode="External" Id="rId91" /><Relationship Type="http://schemas.openxmlformats.org/officeDocument/2006/relationships/hyperlink" Target="https://www.linkedin.com/in/brian-kesselman" TargetMode="External" Id="rId92" /><Relationship Type="http://schemas.openxmlformats.org/officeDocument/2006/relationships/hyperlink" Target="mailto:jon@strategybrix.com" TargetMode="External" Id="rId93" /><Relationship Type="http://schemas.openxmlformats.org/officeDocument/2006/relationships/hyperlink" Target="https://www.linkedin.com/in/jon-lo-cams" TargetMode="External" Id="rId94" /><Relationship Type="http://schemas.openxmlformats.org/officeDocument/2006/relationships/hyperlink" Target="https://www.linkedin.com/in/gerald-roop-285639b" TargetMode="External" Id="rId95" /><Relationship Type="http://schemas.openxmlformats.org/officeDocument/2006/relationships/hyperlink" Target="mailto:dorothy.dewitt@toltstrategies.com" TargetMode="External" Id="rId96" /><Relationship Type="http://schemas.openxmlformats.org/officeDocument/2006/relationships/hyperlink" Target="https://www.linkedin.com/in/dorothydewitt" TargetMode="External" Id="rId97" /><Relationship Type="http://schemas.openxmlformats.org/officeDocument/2006/relationships/hyperlink" Target="mailto:mike.evans@vegacompliance.com" TargetMode="External" Id="rId98" /><Relationship Type="http://schemas.openxmlformats.org/officeDocument/2006/relationships/hyperlink" Target="https://www.linkedin.com/in/mgevans" TargetMode="External" Id="rId99" /><Relationship Type="http://schemas.openxmlformats.org/officeDocument/2006/relationships/hyperlink" Target="mailto:jpaul@venningadvisors.com" TargetMode="External" Id="rId100" /><Relationship Type="http://schemas.openxmlformats.org/officeDocument/2006/relationships/hyperlink" Target="https://www.linkedin.com/in/josephhpaul" TargetMode="External" Id="rId101" /><Relationship Type="http://schemas.openxmlformats.org/officeDocument/2006/relationships/hyperlink" Target="mailto:mreyes@venningadvisors.com" TargetMode="External" Id="rId102" /><Relationship Type="http://schemas.openxmlformats.org/officeDocument/2006/relationships/hyperlink" Target="https://www.linkedin.com/in/mariela-reyes-1b286a17" TargetMode="External" Id="rId103" /><Relationship Type="http://schemas.openxmlformats.org/officeDocument/2006/relationships/hyperlink" Target="mailto:ayuter@yutercompliance.com" TargetMode="External" Id="rId104" /><Relationship Type="http://schemas.openxmlformats.org/officeDocument/2006/relationships/hyperlink" Target="https://www.linkedin.com/in/amy-yuter-b2284544" TargetMode="External" Id="rId105" /><Relationship Type="http://schemas.openxmlformats.org/officeDocument/2006/relationships/hyperlink" Target="mailto:ajaffe@3icollc.com" TargetMode="External" Id="rId106" /><Relationship Type="http://schemas.openxmlformats.org/officeDocument/2006/relationships/hyperlink" Target="https://www.linkedin.com/in/allison-jaffe-3ico" TargetMode="External" Id="rId107" /><Relationship Type="http://schemas.openxmlformats.org/officeDocument/2006/relationships/hyperlink" Target="mailto:afischer@foreside.com" TargetMode="External" Id="rId108" /><Relationship Type="http://schemas.openxmlformats.org/officeDocument/2006/relationships/hyperlink" Target="https://www.linkedin.com/in/andrew-fischer-a3b59094" TargetMode="External" Id="rId109" /><Relationship Type="http://schemas.openxmlformats.org/officeDocument/2006/relationships/hyperlink" Target="https://www.linkedin.com/in/ashleyzeiher" TargetMode="External" Id="rId110" /><Relationship Type="http://schemas.openxmlformats.org/officeDocument/2006/relationships/hyperlink" Target="https://www.linkedin.com/in/heather-hjelm-b7b3b21a" TargetMode="External" Id="rId111" /><Relationship Type="http://schemas.openxmlformats.org/officeDocument/2006/relationships/hyperlink" Target="mailto:maryellen.dunn@acaglobal.com" TargetMode="External" Id="rId112" /><Relationship Type="http://schemas.openxmlformats.org/officeDocument/2006/relationships/hyperlink" Target="https://www.linkedin.com/in/mary-ellen-dunn-79a69455" TargetMode="External" Id="rId113" /><Relationship Type="http://schemas.openxmlformats.org/officeDocument/2006/relationships/hyperlink" Target="mailto:rberthy@foreside.com" TargetMode="External" Id="rId114" /><Relationship Type="http://schemas.openxmlformats.org/officeDocument/2006/relationships/hyperlink" Target="https://www.linkedin.com/in/richard-berthy-66812914" TargetMode="External" Id="rId115" /><Relationship Type="http://schemas.openxmlformats.org/officeDocument/2006/relationships/hyperlink" Target="https://www.linkedin.com/in/tiffanylramirez" TargetMode="External" Id="rId116" /><Relationship Type="http://schemas.openxmlformats.org/officeDocument/2006/relationships/hyperlink" Target="mailto:frances@aspectadv.com" TargetMode="External" Id="rId117" /><Relationship Type="http://schemas.openxmlformats.org/officeDocument/2006/relationships/hyperlink" Target="https://www.linkedin.com/in/frances-meany-cams-6a449997" TargetMode="External" Id="rId118" /><Relationship Type="http://schemas.openxmlformats.org/officeDocument/2006/relationships/hyperlink" Target="mailto:meredith@aspectadv.com" TargetMode="External" Id="rId119" /><Relationship Type="http://schemas.openxmlformats.org/officeDocument/2006/relationships/hyperlink" Target="https://www.linkedin.com/in/meredith-geldhauser" TargetMode="External" Id="rId120" /><Relationship Type="http://schemas.openxmlformats.org/officeDocument/2006/relationships/hyperlink" Target="mailto:patrick@aspectadv.com" TargetMode="External" Id="rId121" /><Relationship Type="http://schemas.openxmlformats.org/officeDocument/2006/relationships/hyperlink" Target="https://www.linkedin.com/in/patrick-labbe-bb017067" TargetMode="External" Id="rId122" /><Relationship Type="http://schemas.openxmlformats.org/officeDocument/2006/relationships/hyperlink" Target="https://www.linkedin.com/in/samioudeh" TargetMode="External" Id="rId123" /><Relationship Type="http://schemas.openxmlformats.org/officeDocument/2006/relationships/hyperlink" Target="mailto:cbekker@bccp-llc.com" TargetMode="External" Id="rId124" /><Relationship Type="http://schemas.openxmlformats.org/officeDocument/2006/relationships/hyperlink" Target="https://www.linkedin.com/in/bekkercompliance" TargetMode="External" Id="rId125" /><Relationship Type="http://schemas.openxmlformats.org/officeDocument/2006/relationships/hyperlink" Target="mailto:dan@bizcompliancepartners.com" TargetMode="External" Id="rId126" /><Relationship Type="http://schemas.openxmlformats.org/officeDocument/2006/relationships/hyperlink" Target="https://www.linkedin.com/in/dan-denton-742a021b" TargetMode="External" Id="rId127" /><Relationship Type="http://schemas.openxmlformats.org/officeDocument/2006/relationships/hyperlink" Target="mailto:paul@bizcompliancepartners.com" TargetMode="External" Id="rId128" /><Relationship Type="http://schemas.openxmlformats.org/officeDocument/2006/relationships/hyperlink" Target="https://www.linkedin.com/in/paulcoxbcp" TargetMode="External" Id="rId129" /><Relationship Type="http://schemas.openxmlformats.org/officeDocument/2006/relationships/hyperlink" Target="mailto:robert.williams@cohasset.com" TargetMode="External" Id="rId130" /><Relationship Type="http://schemas.openxmlformats.org/officeDocument/2006/relationships/hyperlink" Target="https://www.linkedin.com/in/robert-f-williams-6227311b" TargetMode="External" Id="rId131" /><Relationship Type="http://schemas.openxmlformats.org/officeDocument/2006/relationships/hyperlink" Target="mailto:teresa.drabenstadt@cohasset.com" TargetMode="External" Id="rId132" /><Relationship Type="http://schemas.openxmlformats.org/officeDocument/2006/relationships/hyperlink" Target="https://www.linkedin.com/in/teresadrabenstadt" TargetMode="External" Id="rId133" /><Relationship Type="http://schemas.openxmlformats.org/officeDocument/2006/relationships/hyperlink" Target="mailto:craig.neal@complianceadmins.com" TargetMode="External" Id="rId134" /><Relationship Type="http://schemas.openxmlformats.org/officeDocument/2006/relationships/hyperlink" Target="https://www.linkedin.com/in/craigneal" TargetMode="External" Id="rId135" /><Relationship Type="http://schemas.openxmlformats.org/officeDocument/2006/relationships/hyperlink" Target="mailto:apereyra@cxgllc.com" TargetMode="External" Id="rId136" /><Relationship Type="http://schemas.openxmlformats.org/officeDocument/2006/relationships/hyperlink" Target="https://www.linkedin.com/in/alvaro-pereyra-7503a18" TargetMode="External" Id="rId137" /><Relationship Type="http://schemas.openxmlformats.org/officeDocument/2006/relationships/hyperlink" Target="mailto:cdriscoll@cxgllc.com" TargetMode="External" Id="rId138" /><Relationship Type="http://schemas.openxmlformats.org/officeDocument/2006/relationships/hyperlink" Target="https://www.linkedin.com/in/christopher-driscoll-cxg" TargetMode="External" Id="rId139" /><Relationship Type="http://schemas.openxmlformats.org/officeDocument/2006/relationships/hyperlink" Target="mailto:damster@compliance-risk.com" TargetMode="External" Id="rId140" /><Relationship Type="http://schemas.openxmlformats.org/officeDocument/2006/relationships/hyperlink" Target="https://www.linkedin.com/in/davidamster" TargetMode="External" Id="rId141" /><Relationship Type="http://schemas.openxmlformats.org/officeDocument/2006/relationships/hyperlink" Target="mailto:jbowdren@compliance-risk.com" TargetMode="External" Id="rId142" /><Relationship Type="http://schemas.openxmlformats.org/officeDocument/2006/relationships/hyperlink" Target="https://www.linkedin.com/in/jaclyn-bowdren-41608444" TargetMode="External" Id="rId143" /><Relationship Type="http://schemas.openxmlformats.org/officeDocument/2006/relationships/hyperlink" Target="mailto:mavnet@compliance-risk.com" TargetMode="External" Id="rId144" /><Relationship Type="http://schemas.openxmlformats.org/officeDocument/2006/relationships/hyperlink" Target="https://www.linkedin.com/in/mitchavnet" TargetMode="External" Id="rId145" /><Relationship Type="http://schemas.openxmlformats.org/officeDocument/2006/relationships/hyperlink" Target="mailto:sbrown@compliance-risk.com" TargetMode="External" Id="rId146" /><Relationship Type="http://schemas.openxmlformats.org/officeDocument/2006/relationships/hyperlink" Target="https://www.linkedin.com/in/series27" TargetMode="External" Id="rId147" /><Relationship Type="http://schemas.openxmlformats.org/officeDocument/2006/relationships/hyperlink" Target="mailto:pguarino@compliance4.com" TargetMode="External" Id="rId148" /><Relationship Type="http://schemas.openxmlformats.org/officeDocument/2006/relationships/hyperlink" Target="https://www.linkedin.com/in/peterguarino" TargetMode="External" Id="rId149" /><Relationship Type="http://schemas.openxmlformats.org/officeDocument/2006/relationships/hyperlink" Target="mailto:stacey@compliers.com" TargetMode="External" Id="rId150" /><Relationship Type="http://schemas.openxmlformats.org/officeDocument/2006/relationships/hyperlink" Target="https://www.linkedin.com/in/stacey-lynn-lavender-crcp%c2%ae-a434172b" TargetMode="External" Id="rId151" /><Relationship Type="http://schemas.openxmlformats.org/officeDocument/2006/relationships/hyperlink" Target="mailto:ccucharale@cucharalegroup.com" TargetMode="External" Id="rId152" /><Relationship Type="http://schemas.openxmlformats.org/officeDocument/2006/relationships/hyperlink" Target="https://www.linkedin.com/in/cathy-a-cucharale" TargetMode="External" Id="rId153" /><Relationship Type="http://schemas.openxmlformats.org/officeDocument/2006/relationships/hyperlink" Target="mailto:andrew.armstrong@dinsmorecomplianceservices.com" TargetMode="External" Id="rId154" /><Relationship Type="http://schemas.openxmlformats.org/officeDocument/2006/relationships/hyperlink" Target="https://www.linkedin.com/in/andy-armstrong-51745338" TargetMode="External" Id="rId155" /><Relationship Type="http://schemas.openxmlformats.org/officeDocument/2006/relationships/hyperlink" Target="mailto:andy.warning@dinsmorecomplianceservices.com" TargetMode="External" Id="rId156" /><Relationship Type="http://schemas.openxmlformats.org/officeDocument/2006/relationships/hyperlink" Target="https://www.linkedin.com/in/andy-warning-23322249" TargetMode="External" Id="rId157" /><Relationship Type="http://schemas.openxmlformats.org/officeDocument/2006/relationships/hyperlink" Target="mailto:dennis.dockins@dinsmorecomplianceservices.com" TargetMode="External" Id="rId158" /><Relationship Type="http://schemas.openxmlformats.org/officeDocument/2006/relationships/hyperlink" Target="https://www.linkedin.com/in/dennis-dockins-5b82671" TargetMode="External" Id="rId159" /><Relationship Type="http://schemas.openxmlformats.org/officeDocument/2006/relationships/hyperlink" Target="mailto:james.hadaway@dinsmorecomplianceservices.com" TargetMode="External" Id="rId160" /><Relationship Type="http://schemas.openxmlformats.org/officeDocument/2006/relationships/hyperlink" Target="https://www.linkedin.com/in/james-hadaway-a2574912" TargetMode="External" Id="rId161" /><Relationship Type="http://schemas.openxmlformats.org/officeDocument/2006/relationships/hyperlink" Target="mailto:jeff.chapman@dinsmorecomplianceservices.com" TargetMode="External" Id="rId162" /><Relationship Type="http://schemas.openxmlformats.org/officeDocument/2006/relationships/hyperlink" Target="https://www.linkedin.com/in/jeffchapman2" TargetMode="External" Id="rId163" /><Relationship Type="http://schemas.openxmlformats.org/officeDocument/2006/relationships/hyperlink" Target="mailto:lance@eadvisorcompliance.com" TargetMode="External" Id="rId164" /><Relationship Type="http://schemas.openxmlformats.org/officeDocument/2006/relationships/hyperlink" Target="https://www.linkedin.com/in/lancemackenzie" TargetMode="External" Id="rId165" /><Relationship Type="http://schemas.openxmlformats.org/officeDocument/2006/relationships/hyperlink" Target="mailto:todd@eefirms.com" TargetMode="External" Id="rId166" /><Relationship Type="http://schemas.openxmlformats.org/officeDocument/2006/relationships/hyperlink" Target="https://www.linkedin.com/in/todd-spillane-336a373" TargetMode="External" Id="rId167" /><Relationship Type="http://schemas.openxmlformats.org/officeDocument/2006/relationships/hyperlink" Target="mailto:nreithinger@eventusag.com" TargetMode="External" Id="rId168" /><Relationship Type="http://schemas.openxmlformats.org/officeDocument/2006/relationships/hyperlink" Target="https://www.linkedin.com/in/neil-reithinger-2849833" TargetMode="External" Id="rId169" /><Relationship Type="http://schemas.openxmlformats.org/officeDocument/2006/relationships/hyperlink" Target="mailto:ellen.harvin@fairviewinvest.com" TargetMode="External" Id="rId170" /><Relationship Type="http://schemas.openxmlformats.org/officeDocument/2006/relationships/hyperlink" Target="https://www.linkedin.com/in/ellen-harvin-838a264b" TargetMode="External" Id="rId171" /><Relationship Type="http://schemas.openxmlformats.org/officeDocument/2006/relationships/hyperlink" Target="mailto:john.marriott@fairviewinvest.com" TargetMode="External" Id="rId172" /><Relationship Type="http://schemas.openxmlformats.org/officeDocument/2006/relationships/hyperlink" Target="https://www.linkedin.com/in/john-marriott-12b68b9" TargetMode="External" Id="rId173" /><Relationship Type="http://schemas.openxmlformats.org/officeDocument/2006/relationships/hyperlink" Target="mailto:tracey.winters@fairviewinvest.com" TargetMode="External" Id="rId174" /><Relationship Type="http://schemas.openxmlformats.org/officeDocument/2006/relationships/hyperlink" Target="https://www.linkedin.com/in/tracey-hendricks-winters-5239795" TargetMode="External" Id="rId175" /><Relationship Type="http://schemas.openxmlformats.org/officeDocument/2006/relationships/hyperlink" Target="mailto:shomuth@fitsconsulting.com" TargetMode="External" Id="rId176" /><Relationship Type="http://schemas.openxmlformats.org/officeDocument/2006/relationships/hyperlink" Target="https://www.linkedin.com/in/smhomuth" TargetMode="External" Id="rId177" /><Relationship Type="http://schemas.openxmlformats.org/officeDocument/2006/relationships/hyperlink" Target="https://www.linkedin.com/in/chip-arvantides-3a61098" TargetMode="External" Id="rId178" /><Relationship Type="http://schemas.openxmlformats.org/officeDocument/2006/relationships/hyperlink" Target="mailto:amy@compliantperformance.com" TargetMode="External" Id="rId179" /><Relationship Type="http://schemas.openxmlformats.org/officeDocument/2006/relationships/hyperlink" Target="https://www.linkedin.com/in/amyjonescipm" TargetMode="External" Id="rId180" /><Relationship Type="http://schemas.openxmlformats.org/officeDocument/2006/relationships/hyperlink" Target="mailto:arin@compliantperformance.com" TargetMode="External" Id="rId181" /><Relationship Type="http://schemas.openxmlformats.org/officeDocument/2006/relationships/hyperlink" Target="https://www.linkedin.com/in/arin-stancil-cfa-cipm-37b16911" TargetMode="External" Id="rId182" /><Relationship Type="http://schemas.openxmlformats.org/officeDocument/2006/relationships/hyperlink" Target="mailto:stacie@integrated-compliance.com" TargetMode="External" Id="rId183" /><Relationship Type="http://schemas.openxmlformats.org/officeDocument/2006/relationships/hyperlink" Target="https://www.linkedin.com/in/stacie-craddock-17124298" TargetMode="External" Id="rId184" /><Relationship Type="http://schemas.openxmlformats.org/officeDocument/2006/relationships/hyperlink" Target="mailto:dmillar@integrity2c.com" TargetMode="External" Id="rId185" /><Relationship Type="http://schemas.openxmlformats.org/officeDocument/2006/relationships/hyperlink" Target="https://www.linkedin.com/in/millardavidr" TargetMode="External" Id="rId186" /><Relationship Type="http://schemas.openxmlformats.org/officeDocument/2006/relationships/hyperlink" Target="https://www.linkedin.com/in/beverlyfetcko" TargetMode="External" Id="rId187" /><Relationship Type="http://schemas.openxmlformats.org/officeDocument/2006/relationships/hyperlink" Target="mailto:anthony.visone@optima-partners.com" TargetMode="External" Id="rId188" /><Relationship Type="http://schemas.openxmlformats.org/officeDocument/2006/relationships/hyperlink" Target="https://www.linkedin.com/in/anthony-visone-337449b0" TargetMode="External" Id="rId189" /><Relationship Type="http://schemas.openxmlformats.org/officeDocument/2006/relationships/hyperlink" Target="mailto:betty.valouktzis@optima-partners.com" TargetMode="External" Id="rId190" /><Relationship Type="http://schemas.openxmlformats.org/officeDocument/2006/relationships/hyperlink" Target="https://www.linkedin.com/in/beata-betty-valouktzis-6b982516" TargetMode="External" Id="rId191" /><Relationship Type="http://schemas.openxmlformats.org/officeDocument/2006/relationships/hyperlink" Target="mailto:sara.mclean@optima-partners.com" TargetMode="External" Id="rId192" /><Relationship Type="http://schemas.openxmlformats.org/officeDocument/2006/relationships/hyperlink" Target="https://www.linkedin.com/in/sara-mclean-38b336bb" TargetMode="External" Id="rId193" /><Relationship Type="http://schemas.openxmlformats.org/officeDocument/2006/relationships/hyperlink" Target="mailto:gflorio@florioleahy.com" TargetMode="External" Id="rId194" /><Relationship Type="http://schemas.openxmlformats.org/officeDocument/2006/relationships/hyperlink" Target="https://www.linkedin.com/in/gregory-florio-6854433b" TargetMode="External" Id="rId195" /><Relationship Type="http://schemas.openxmlformats.org/officeDocument/2006/relationships/hyperlink" Target="mailto:buddy.doyle@oysterllc.com" TargetMode="External" Id="rId196" /><Relationship Type="http://schemas.openxmlformats.org/officeDocument/2006/relationships/hyperlink" Target="https://www.linkedin.com/in/buddydoyle" TargetMode="External" Id="rId197" /><Relationship Type="http://schemas.openxmlformats.org/officeDocument/2006/relationships/hyperlink" Target="mailto:david.williams@oysterllc.com" TargetMode="External" Id="rId198" /><Relationship Type="http://schemas.openxmlformats.org/officeDocument/2006/relationships/hyperlink" Target="https://www.linkedin.com/in/david-williams-112a051b" TargetMode="External" Id="rId199" /><Relationship Type="http://schemas.openxmlformats.org/officeDocument/2006/relationships/hyperlink" Target="mailto:patrick.dennis@oysterllc.com" TargetMode="External" Id="rId200" /><Relationship Type="http://schemas.openxmlformats.org/officeDocument/2006/relationships/hyperlink" Target="https://www.linkedin.com/in/patrickmdennis" TargetMode="External" Id="rId201" /><Relationship Type="http://schemas.openxmlformats.org/officeDocument/2006/relationships/hyperlink" Target="mailto:robert.hall@oysterllc.com" TargetMode="External" Id="rId202" /><Relationship Type="http://schemas.openxmlformats.org/officeDocument/2006/relationships/hyperlink" Target="https://www.linkedin.com/in/robhalloyster" TargetMode="External" Id="rId203" /><Relationship Type="http://schemas.openxmlformats.org/officeDocument/2006/relationships/hyperlink" Target="mailto:dpatten@pattentraining.com" TargetMode="External" Id="rId204" /><Relationship Type="http://schemas.openxmlformats.org/officeDocument/2006/relationships/hyperlink" Target="https://www.linkedin.com/in/deirdre-patten-65ba755" TargetMode="External" Id="rId205" /><Relationship Type="http://schemas.openxmlformats.org/officeDocument/2006/relationships/hyperlink" Target="mailto:ishumberg@pattentraining.com" TargetMode="External" Id="rId206" /><Relationship Type="http://schemas.openxmlformats.org/officeDocument/2006/relationships/hyperlink" Target="https://www.linkedin.com/in/ivana-shumberg-2b9868307" TargetMode="External" Id="rId207" /><Relationship Type="http://schemas.openxmlformats.org/officeDocument/2006/relationships/hyperlink" Target="mailto:deacon@qcsfinancialservices.com" TargetMode="External" Id="rId208" /><Relationship Type="http://schemas.openxmlformats.org/officeDocument/2006/relationships/hyperlink" Target="https://www.linkedin.com/in/deacon-john-durden-5b6a8517" TargetMode="External" Id="rId209" /><Relationship Type="http://schemas.openxmlformats.org/officeDocument/2006/relationships/hyperlink" Target="https://www.linkedin.com/in/john-durden-35080678" TargetMode="External" Id="rId210" /><Relationship Type="http://schemas.openxmlformats.org/officeDocument/2006/relationships/hyperlink" Target="mailto:kent@reliantcompliance.com" TargetMode="External" Id="rId211" /><Relationship Type="http://schemas.openxmlformats.org/officeDocument/2006/relationships/hyperlink" Target="https://www.linkedin.com/in/kent-keister" TargetMode="External" Id="rId212" /><Relationship Type="http://schemas.openxmlformats.org/officeDocument/2006/relationships/hyperlink" Target="mailto:jjames@ria-compliance-consultants.com" TargetMode="External" Id="rId213" /><Relationship Type="http://schemas.openxmlformats.org/officeDocument/2006/relationships/hyperlink" Target="https://www.linkedin.com/in/jarrodjames" TargetMode="External" Id="rId214" /><Relationship Type="http://schemas.openxmlformats.org/officeDocument/2006/relationships/hyperlink" Target="mailto:blake@riacomp.com" TargetMode="External" Id="rId215" /><Relationship Type="http://schemas.openxmlformats.org/officeDocument/2006/relationships/hyperlink" Target="https://www.linkedin.com/in/blakebjordahl" TargetMode="External" Id="rId216" /><Relationship Type="http://schemas.openxmlformats.org/officeDocument/2006/relationships/hyperlink" Target="mailto:liz@seccsllc.com" TargetMode="External" Id="rId217" /><Relationship Type="http://schemas.openxmlformats.org/officeDocument/2006/relationships/hyperlink" Target="https://www.linkedin.com/in/elizabeth-cope-cpa-cipm-cscp-b521bb8" TargetMode="External" Id="rId218" /><Relationship Type="http://schemas.openxmlformats.org/officeDocument/2006/relationships/hyperlink" Target="mailto:katie@seccsllc.com" TargetMode="External" Id="rId219" /><Relationship Type="http://schemas.openxmlformats.org/officeDocument/2006/relationships/hyperlink" Target="https://www.linkedin.com/in/kate-mogan-iaccp%c2%ae-aa2ab833" TargetMode="External" Id="rId220" /><Relationship Type="http://schemas.openxmlformats.org/officeDocument/2006/relationships/hyperlink" Target="mailto:ssimon@secadvisors.com" TargetMode="External" Id="rId221" /><Relationship Type="http://schemas.openxmlformats.org/officeDocument/2006/relationships/hyperlink" Target="https://www.linkedin.com/in/stephen-simon-92301812" TargetMode="External" Id="rId222" /><Relationship Type="http://schemas.openxmlformats.org/officeDocument/2006/relationships/hyperlink" Target="mailto:kyle.weeks@mastercompliance.com" TargetMode="External" Id="rId223" /><Relationship Type="http://schemas.openxmlformats.org/officeDocument/2006/relationships/hyperlink" Target="https://www.linkedin.com/in/kyleweeks63" TargetMode="External" Id="rId224" /><Relationship Type="http://schemas.openxmlformats.org/officeDocument/2006/relationships/hyperlink" Target="mailto:fkhan@silverreg.com" TargetMode="External" Id="rId225" /><Relationship Type="http://schemas.openxmlformats.org/officeDocument/2006/relationships/hyperlink" Target="https://www.linkedin.com/in/fizzakhan1" TargetMode="External" Id="rId226" /><Relationship Type="http://schemas.openxmlformats.org/officeDocument/2006/relationships/hyperlink" Target="mailto:mjames@summitcompliancegroup.com" TargetMode="External" Id="rId227" /><Relationship Type="http://schemas.openxmlformats.org/officeDocument/2006/relationships/hyperlink" Target="https://www.linkedin.com/in/maureenjames1" TargetMode="External" Id="rId228" /><Relationship Type="http://schemas.openxmlformats.org/officeDocument/2006/relationships/hyperlink" Target="mailto:jjones@venningadvisors.com" TargetMode="External" Id="rId229" /><Relationship Type="http://schemas.openxmlformats.org/officeDocument/2006/relationships/hyperlink" Target="https://www.linkedin.com/in/josie-rogers-jones" TargetMode="External" Id="rId230" /><Relationship Type="http://schemas.openxmlformats.org/officeDocument/2006/relationships/hyperlink" Target="mailto:michael.borts@acaglobal.com" TargetMode="External" Id="rId231" /><Relationship Type="http://schemas.openxmlformats.org/officeDocument/2006/relationships/hyperlink" Target="https://www.linkedin.com/in/mborts" TargetMode="External" Id="rId232" /><Relationship Type="http://schemas.openxmlformats.org/officeDocument/2006/relationships/hyperlink" Target="mailto:trey.loughran@acaglobal.com" TargetMode="External" Id="rId233" /><Relationship Type="http://schemas.openxmlformats.org/officeDocument/2006/relationships/hyperlink" Target="https://www.linkedin.com/in/treyloughran" TargetMode="External" Id="rId234" /><Relationship Type="http://schemas.openxmlformats.org/officeDocument/2006/relationships/hyperlink" Target="https://www.linkedin.com/in/jay-haas-a7560a17" TargetMode="External" Id="rId235" /><Relationship Type="http://schemas.openxmlformats.org/officeDocument/2006/relationships/hyperlink" Target="mailto:dan.garrett@oysterllc.com" TargetMode="External" Id="rId236" /><Relationship Type="http://schemas.openxmlformats.org/officeDocument/2006/relationships/hyperlink" Target="https://www.linkedin.com/in/danielgarrett" TargetMode="External" Id="rId237" /><Relationship Type="http://schemas.openxmlformats.org/officeDocument/2006/relationships/hyperlink" Target="mailto:gena.spitzer@oysterllc.com" TargetMode="External" Id="rId238" /><Relationship Type="http://schemas.openxmlformats.org/officeDocument/2006/relationships/hyperlink" Target="https://www.linkedin.com/in/genaspitzer" TargetMode="External" Id="rId239" /><Relationship Type="http://schemas.openxmlformats.org/officeDocument/2006/relationships/hyperlink" Target="mailto:lisa.robinson@oysterllc.com" TargetMode="External" Id="rId240" /><Relationship Type="http://schemas.openxmlformats.org/officeDocument/2006/relationships/hyperlink" Target="https://www.linkedin.com/in/lisa-robinson-97902018" TargetMode="External" Id="rId241" /><Relationship Type="http://schemas.openxmlformats.org/officeDocument/2006/relationships/hyperlink" Target="mailto:pete.mcateer@oysterllc.com" TargetMode="External" Id="rId242" /><Relationship Type="http://schemas.openxmlformats.org/officeDocument/2006/relationships/hyperlink" Target="https://www.linkedin.com/in/pete-mcateer-9539201" TargetMode="External" Id="rId243" /><Relationship Type="http://schemas.openxmlformats.org/officeDocument/2006/relationships/hyperlink" Target="mailto:summit@marketcounsel.com" TargetMode="External" Id="rId244" /><Relationship Type="http://schemas.openxmlformats.org/officeDocument/2006/relationships/hyperlink" Target="https://www.linkedin.com/in/hamburger" TargetMode="External" Id="rId245" /><Relationship Type="http://schemas.openxmlformats.org/officeDocument/2006/relationships/hyperlink" Target="mailto:plally@cnsl.me" TargetMode="External" Id="rId246" /><Relationship Type="http://schemas.openxmlformats.org/officeDocument/2006/relationships/hyperlink" Target="https://www.linkedin.com/in/paul-lally" TargetMode="External" Id="rId247" /><Relationship Type="http://schemas.openxmlformats.org/officeDocument/2006/relationships/hyperlink" Target="mailto:wbooker@marketcounsel.com" TargetMode="External" Id="rId248" /><Relationship Type="http://schemas.openxmlformats.org/officeDocument/2006/relationships/hyperlink" Target="https://www.linkedin.com/in/walterkbooker" TargetMode="External" Id="rId249" /><Relationship Type="http://schemas.openxmlformats.org/officeDocument/2006/relationships/hyperlink" Target="mailto:cnorris@golsanscruggs.com" TargetMode="External" Id="rId250" /><Relationship Type="http://schemas.openxmlformats.org/officeDocument/2006/relationships/hyperlink" Target="https://www.linkedin.com/in/cameron-norris-caia-32774150" TargetMode="External" Id="rId251" /><Relationship Type="http://schemas.openxmlformats.org/officeDocument/2006/relationships/hyperlink" Target="mailto:kgolsan@golsanscruggs.com" TargetMode="External" Id="rId252" /><Relationship Type="http://schemas.openxmlformats.org/officeDocument/2006/relationships/hyperlink" Target="https://www.linkedin.com/in/kenneth-golsan-46555520" TargetMode="External" Id="rId253" /><Relationship Type="http://schemas.openxmlformats.org/officeDocument/2006/relationships/hyperlink" Target="mailto:crisl@hcpnational.com" TargetMode="External" Id="rId254" /><Relationship Type="http://schemas.openxmlformats.org/officeDocument/2006/relationships/hyperlink" Target="https://www.linkedin.com/in/andrea-%e2%80%9ccris%e2%80%9d-dyer-06b58233" TargetMode="External" Id="rId255" /><Relationship Type="http://schemas.openxmlformats.org/officeDocument/2006/relationships/hyperlink" Target="mailto:williamd@hcpnational.com" TargetMode="External" Id="rId256" /><Relationship Type="http://schemas.openxmlformats.org/officeDocument/2006/relationships/hyperlink" Target="https://www.linkedin.com/in/williamddyer" TargetMode="External" Id="rId257" /><Relationship Type="http://schemas.openxmlformats.org/officeDocument/2006/relationships/hyperlink" Target="mailto:cpowell@locktonaffinity.com" TargetMode="External" Id="rId258" /><Relationship Type="http://schemas.openxmlformats.org/officeDocument/2006/relationships/hyperlink" Target="https://www.linkedin.com/in/chris-powell-9381018" TargetMode="External" Id="rId259" /><Relationship Type="http://schemas.openxmlformats.org/officeDocument/2006/relationships/hyperlink" Target="mailto:nborghardt@locktonaffinity.com" TargetMode="External" Id="rId260" /><Relationship Type="http://schemas.openxmlformats.org/officeDocument/2006/relationships/hyperlink" Target="https://www.linkedin.com/in/nathan-borghardt-95224253" TargetMode="External" Id="rId261" /><Relationship Type="http://schemas.openxmlformats.org/officeDocument/2006/relationships/hyperlink" Target="mailto:rrobson@locktonaffinity.com" TargetMode="External" Id="rId262" /><Relationship Type="http://schemas.openxmlformats.org/officeDocument/2006/relationships/hyperlink" Target="https://www.linkedin.com/in/reid-robson-25473549" TargetMode="External" Id="rId263" /><Relationship Type="http://schemas.openxmlformats.org/officeDocument/2006/relationships/hyperlink" Target="https://www.linkedin.com/in/christinecoyle" TargetMode="External" Id="rId264" /><Relationship Type="http://schemas.openxmlformats.org/officeDocument/2006/relationships/hyperlink" Target="mailto:karen@thecoylegroup.com" TargetMode="External" Id="rId265" /><Relationship Type="http://schemas.openxmlformats.org/officeDocument/2006/relationships/hyperlink" Target="https://www.linkedin.com/in/karen-coyle-b7679376" TargetMode="External" Id="rId266" /><Relationship Type="http://schemas.openxmlformats.org/officeDocument/2006/relationships/hyperlink" Target="mailto:pklusmeyer@parkmac.com" TargetMode="External" Id="rId267" /><Relationship Type="http://schemas.openxmlformats.org/officeDocument/2006/relationships/hyperlink" Target="https://www.linkedin.com/in/patricia-klusmeyer-4b6915b" TargetMode="External" Id="rId268" /><Relationship Type="http://schemas.openxmlformats.org/officeDocument/2006/relationships/hyperlink" Target="mailto:jsparker@parkmac.com" TargetMode="External" Id="rId269" /><Relationship Type="http://schemas.openxmlformats.org/officeDocument/2006/relationships/hyperlink" Target="https://www.linkedin.com/in/jstevenparker" TargetMode="External" Id="rId270" /><Relationship Type="http://schemas.openxmlformats.org/officeDocument/2006/relationships/hyperlink" Target="https://www.linkedin.com/in/john-macdonald-683a0b15" TargetMode="External" Id="rId271" /><Relationship Type="http://schemas.openxmlformats.org/officeDocument/2006/relationships/hyperlink" Target="mailto:hbaltch@dynastyfp.com" TargetMode="External" Id="rId272" /><Relationship Type="http://schemas.openxmlformats.org/officeDocument/2006/relationships/hyperlink" Target="https://www.linkedin.com/in/harrisbaltch" TargetMode="External" Id="rId273" /><Relationship Type="http://schemas.openxmlformats.org/officeDocument/2006/relationships/hyperlink" Target="mailto:lnorman@dynastyfp.com" TargetMode="External" Id="rId274" /><Relationship Type="http://schemas.openxmlformats.org/officeDocument/2006/relationships/hyperlink" Target="https://www.linkedin.com/in/leslie-norman-510a7625" TargetMode="External" Id="rId275" /><Relationship Type="http://schemas.openxmlformats.org/officeDocument/2006/relationships/hyperlink" Target="mailto:mhineman@dynastyfp.com" TargetMode="External" Id="rId276" /><Relationship Type="http://schemas.openxmlformats.org/officeDocument/2006/relationships/hyperlink" Target="https://www.linkedin.com/in/marchineman" TargetMode="External" Id="rId277" /><Relationship Type="http://schemas.openxmlformats.org/officeDocument/2006/relationships/hyperlink" Target="mailto:enothstein@sanctuarywealth.com" TargetMode="External" Id="rId278" /><Relationship Type="http://schemas.openxmlformats.org/officeDocument/2006/relationships/hyperlink" Target="https://www.linkedin.com/in/eric-nothstein-6098bb14" TargetMode="External" Id="rId279" /><Relationship Type="http://schemas.openxmlformats.org/officeDocument/2006/relationships/hyperlink" Target="mailto:jhoosier@sanctuarywealth.com" TargetMode="External" Id="rId280" /><Relationship Type="http://schemas.openxmlformats.org/officeDocument/2006/relationships/hyperlink" Target="https://www.linkedin.com/in/jene-hoosier-73a82640" TargetMode="External" Id="rId281" /><Relationship Type="http://schemas.openxmlformats.org/officeDocument/2006/relationships/hyperlink" Target="mailto:rwilliams@sanctuarywealth.com" TargetMode="External" Id="rId282" /><Relationship Type="http://schemas.openxmlformats.org/officeDocument/2006/relationships/hyperlink" Target="https://www.linkedin.com/in/richard-williams-0535751b" TargetMode="External" Id="rId283" /><Relationship Type="http://schemas.openxmlformats.org/officeDocument/2006/relationships/hyperlink" Target="https://www.linkedin.com/in/bobcoppola" TargetMode="External" Id="rId284" /><Relationship Type="http://schemas.openxmlformats.org/officeDocument/2006/relationships/hyperlink" Target="mailto:rwalter@sanctuarywealth.com" TargetMode="External" Id="rId285" /><Relationship Type="http://schemas.openxmlformats.org/officeDocument/2006/relationships/hyperlink" Target="https://www.linkedin.com/in/robert-walter-525b5237" TargetMode="External" Id="rId286" /><Relationship Type="http://schemas.openxmlformats.org/officeDocument/2006/relationships/hyperlink" Target="mailto:bkawal@advisorgrowthllc.com" TargetMode="External" Id="rId287" /><Relationship Type="http://schemas.openxmlformats.org/officeDocument/2006/relationships/hyperlink" Target="https://www.linkedin.com/in/brandonkawal" TargetMode="External" Id="rId288" /><Relationship Type="http://schemas.openxmlformats.org/officeDocument/2006/relationships/hyperlink" Target="mailto:aryeh.malitzky@devoe-co.com" TargetMode="External" Id="rId289" /><Relationship Type="http://schemas.openxmlformats.org/officeDocument/2006/relationships/hyperlink" Target="https://www.linkedin.com/in/aryeh-malitzky-14435642" TargetMode="External" Id="rId290" /><Relationship Type="http://schemas.openxmlformats.org/officeDocument/2006/relationships/hyperlink" Target="mailto:doug.johnson@devoe-co.com" TargetMode="External" Id="rId291" /><Relationship Type="http://schemas.openxmlformats.org/officeDocument/2006/relationships/hyperlink" Target="https://www.linkedin.com/in/a-douglas-johnson-696a06" TargetMode="External" Id="rId292" /><Relationship Type="http://schemas.openxmlformats.org/officeDocument/2006/relationships/hyperlink" Target="mailto:gordon.ross@devoe-co.com" TargetMode="External" Id="rId293" /><Relationship Type="http://schemas.openxmlformats.org/officeDocument/2006/relationships/hyperlink" Target="https://www.linkedin.com/in/gordonross-gla" TargetMode="External" Id="rId294" /><Relationship Type="http://schemas.openxmlformats.org/officeDocument/2006/relationships/hyperlink" Target="mailto:hoyt.stastney@devoe-co.com" TargetMode="External" Id="rId295" /><Relationship Type="http://schemas.openxmlformats.org/officeDocument/2006/relationships/hyperlink" Target="https://www.linkedin.com/in/hoyt-stastney" TargetMode="External" Id="rId296" /><Relationship Type="http://schemas.openxmlformats.org/officeDocument/2006/relationships/hyperlink" Target="mailto:tom.valverde@devoe-co.com" TargetMode="External" Id="rId297" /><Relationship Type="http://schemas.openxmlformats.org/officeDocument/2006/relationships/hyperlink" Target="https://www.linkedin.com/in/tom-valverde-725ab832" TargetMode="External" Id="rId298" /><Relationship Type="http://schemas.openxmlformats.org/officeDocument/2006/relationships/hyperlink" Target="mailto:ccalisin@hcglobalfs.com" TargetMode="External" Id="rId299" /><Relationship Type="http://schemas.openxmlformats.org/officeDocument/2006/relationships/hyperlink" Target="https://www.linkedin.com/in/casper-calisin-61a2b19" TargetMode="External" Id="rId300" /><Relationship Type="http://schemas.openxmlformats.org/officeDocument/2006/relationships/hyperlink" Target="mailto:npasco@hcglobalfs.com" TargetMode="External" Id="rId301" /><Relationship Type="http://schemas.openxmlformats.org/officeDocument/2006/relationships/hyperlink" Target="https://www.linkedin.com/in/nick-pasco-77627a2" TargetMode="External" Id="rId302" /><Relationship Type="http://schemas.openxmlformats.org/officeDocument/2006/relationships/hyperlink" Target="mailto:ambuj.garg@navconsulting.net" TargetMode="External" Id="rId303" /><Relationship Type="http://schemas.openxmlformats.org/officeDocument/2006/relationships/hyperlink" Target="https://www.linkedin.com/in/ambuj-garg-b8769244" TargetMode="External" Id="rId304" /><Relationship Type="http://schemas.openxmlformats.org/officeDocument/2006/relationships/hyperlink" Target="mailto:nav@navconsulting.net" TargetMode="External" Id="rId305" /><Relationship Type="http://schemas.openxmlformats.org/officeDocument/2006/relationships/hyperlink" Target="https://www.linkedin.com/in/nav-gupta-6b385b7" TargetMode="External" Id="rId306" /><Relationship Type="http://schemas.openxmlformats.org/officeDocument/2006/relationships/hyperlink" Target="mailto:jbernstein@opusfundservices.com" TargetMode="External" Id="rId307" /><Relationship Type="http://schemas.openxmlformats.org/officeDocument/2006/relationships/hyperlink" Target="https://www.linkedin.com/in/jeff-bernstein-60635145" TargetMode="External" Id="rId308" /><Relationship Type="http://schemas.openxmlformats.org/officeDocument/2006/relationships/hyperlink" Target="mailto:mcanni@opusfundservices.com" TargetMode="External" Id="rId309" /><Relationship Type="http://schemas.openxmlformats.org/officeDocument/2006/relationships/hyperlink" Target="https://www.linkedin.com/in/mohsen01" TargetMode="External" Id="rId310" /><Relationship Type="http://schemas.openxmlformats.org/officeDocument/2006/relationships/hyperlink" Target="mailto:ransell@opusfundservices.com" TargetMode="External" Id="rId311" /><Relationship Type="http://schemas.openxmlformats.org/officeDocument/2006/relationships/hyperlink" Target="https://www.linkedin.com/in/robert-ansell-015aab255" TargetMode="External" Id="rId312" /><Relationship Type="http://schemas.openxmlformats.org/officeDocument/2006/relationships/hyperlink" Target="mailto:hanh@complect.com" TargetMode="External" Id="rId313" /><Relationship Type="http://schemas.openxmlformats.org/officeDocument/2006/relationships/hyperlink" Target="https://www.linkedin.com/in/hanh-t-nguyen" TargetMode="External" Id="rId314" /><Relationship Type="http://schemas.openxmlformats.org/officeDocument/2006/relationships/hyperlink" Target="mailto:wrodriguez@dsfadv.com" TargetMode="External" Id="rId315" /><Relationship Type="http://schemas.openxmlformats.org/officeDocument/2006/relationships/hyperlink" Target="https://www.linkedin.com/in/wilfredocpa" TargetMode="External" Id="rId316" /><Relationship Type="http://schemas.openxmlformats.org/officeDocument/2006/relationships/hyperlink" Target="mailto:mlourie@freshnotiongroup.com" TargetMode="External" Id="rId317" /><Relationship Type="http://schemas.openxmlformats.org/officeDocument/2006/relationships/hyperlink" Target="https://www.linkedin.com/in/matthew-lourie-19b12a15" TargetMode="External" Id="rId318" /><Relationship Type="http://schemas.openxmlformats.org/officeDocument/2006/relationships/hyperlink" Target="mailto:mjudge@genesisfilings.com" TargetMode="External" Id="rId319" /><Relationship Type="http://schemas.openxmlformats.org/officeDocument/2006/relationships/hyperlink" Target="https://www.linkedin.com/in/matthew-judge74" TargetMode="External" Id="rId320" /><Relationship Type="http://schemas.openxmlformats.org/officeDocument/2006/relationships/hyperlink" Target="mailto:charles@skematic.com" TargetMode="External" Id="rId321" /><Relationship Type="http://schemas.openxmlformats.org/officeDocument/2006/relationships/hyperlink" Target="https://www.linkedin.com/in/charles-steerman-9ab4134" TargetMode="External" Id="rId322" /><Relationship Type="http://schemas.openxmlformats.org/officeDocument/2006/relationships/hyperlink" Target="mailto:george.quinn@tbhconsulting.com" TargetMode="External" Id="rId323" /><Relationship Type="http://schemas.openxmlformats.org/officeDocument/2006/relationships/hyperlink" Target="https://www.linkedin.com/in/george-quinn-72158389" TargetMode="External" Id="rId324" /></Relationships>
</file>

<file path=xl/worksheets/_rels/sheet4.xml.rels><Relationships xmlns="http://schemas.openxmlformats.org/package/2006/relationships"><Relationship Type="http://schemas.openxmlformats.org/officeDocument/2006/relationships/hyperlink" Target="mailto:vick@5pillarscompliance.com" TargetMode="External" Id="rId1" /><Relationship Type="http://schemas.openxmlformats.org/officeDocument/2006/relationships/hyperlink" Target="https://www.linkedin.com/in/vickekizian" TargetMode="External" Id="rId2" /><Relationship Type="http://schemas.openxmlformats.org/officeDocument/2006/relationships/hyperlink" Target="mailto:lisa@abidegrp.com" TargetMode="External" Id="rId3" /><Relationship Type="http://schemas.openxmlformats.org/officeDocument/2006/relationships/hyperlink" Target="https://www.linkedin.com/in/lisaroitman" TargetMode="External" Id="rId4" /><Relationship Type="http://schemas.openxmlformats.org/officeDocument/2006/relationships/hyperlink" Target="mailto:robert.masi@accordo.solutions" TargetMode="External" Id="rId5" /><Relationship Type="http://schemas.openxmlformats.org/officeDocument/2006/relationships/hyperlink" Target="https://www.linkedin.com/in/robert-masi-1a123b8" TargetMode="External" Id="rId6" /><Relationship Type="http://schemas.openxmlformats.org/officeDocument/2006/relationships/hyperlink" Target="https://www.linkedin.com/in/stephen-lurie-8b0b371" TargetMode="External" Id="rId7" /><Relationship Type="http://schemas.openxmlformats.org/officeDocument/2006/relationships/hyperlink" Target="mailto:joe@allycompliancepartners.com" TargetMode="External" Id="rId8" /><Relationship Type="http://schemas.openxmlformats.org/officeDocument/2006/relationships/hyperlink" Target="https://www.linkedin.com/in/josephstowell" TargetMode="External" Id="rId9" /><Relationship Type="http://schemas.openxmlformats.org/officeDocument/2006/relationships/hyperlink" Target="mailto:chris@altpilotgroup.com" TargetMode="External" Id="rId10" /><Relationship Type="http://schemas.openxmlformats.org/officeDocument/2006/relationships/hyperlink" Target="https://www.linkedin.com/in/chrishardy2" TargetMode="External" Id="rId11" /><Relationship Type="http://schemas.openxmlformats.org/officeDocument/2006/relationships/hyperlink" Target="mailto:jhurd@asgardcompliance.com" TargetMode="External" Id="rId12" /><Relationship Type="http://schemas.openxmlformats.org/officeDocument/2006/relationships/hyperlink" Target="https://www.linkedin.com/in/jonhurdarg" TargetMode="External" Id="rId13" /><Relationship Type="http://schemas.openxmlformats.org/officeDocument/2006/relationships/hyperlink" Target="mailto:justin@aspectadv.com" TargetMode="External" Id="rId14" /><Relationship Type="http://schemas.openxmlformats.org/officeDocument/2006/relationships/hyperlink" Target="https://www.linkedin.com/in/justin-schleifer-28852036" TargetMode="External" Id="rId15" /><Relationship Type="http://schemas.openxmlformats.org/officeDocument/2006/relationships/hyperlink" Target="mailto:chris.nowak@augmentaprimegroup.com" TargetMode="External" Id="rId16" /><Relationship Type="http://schemas.openxmlformats.org/officeDocument/2006/relationships/hyperlink" Target="https://www.linkedin.com/in/chris-nowak-cams-cafp-cbp" TargetMode="External" Id="rId17" /><Relationship Type="http://schemas.openxmlformats.org/officeDocument/2006/relationships/hyperlink" Target="mailto:slittle@chenerycompliance.com" TargetMode="External" Id="rId18" /><Relationship Type="http://schemas.openxmlformats.org/officeDocument/2006/relationships/hyperlink" Target="https://www.linkedin.com/in/stefanie-j-little-b155075" TargetMode="External" Id="rId19" /><Relationship Type="http://schemas.openxmlformats.org/officeDocument/2006/relationships/hyperlink" Target="mailto:com@clarity-consultancy.com" TargetMode="External" Id="rId20" /><Relationship Type="http://schemas.openxmlformats.org/officeDocument/2006/relationships/hyperlink" Target="https://www.linkedin.com/in/claire-o-neill-mccleskey" TargetMode="External" Id="rId21" /><Relationship Type="http://schemas.openxmlformats.org/officeDocument/2006/relationships/hyperlink" Target="mailto:david@compliers.com" TargetMode="External" Id="rId22" /><Relationship Type="http://schemas.openxmlformats.org/officeDocument/2006/relationships/hyperlink" Target="https://www.linkedin.com/in/davidjaindlmartin" TargetMode="External" Id="rId23" /><Relationship Type="http://schemas.openxmlformats.org/officeDocument/2006/relationships/hyperlink" Target="mailto:michelle.jacko@corecls.com" TargetMode="External" Id="rId24" /><Relationship Type="http://schemas.openxmlformats.org/officeDocument/2006/relationships/hyperlink" Target="https://www.linkedin.com/in/michellejacko" TargetMode="External" Id="rId25" /><Relationship Type="http://schemas.openxmlformats.org/officeDocument/2006/relationships/hyperlink" Target="mailto:gfox@dfppartners.com" TargetMode="External" Id="rId26" /><Relationship Type="http://schemas.openxmlformats.org/officeDocument/2006/relationships/hyperlink" Target="https://www.linkedin.com/in/garyfox8" TargetMode="External" Id="rId27" /><Relationship Type="http://schemas.openxmlformats.org/officeDocument/2006/relationships/hyperlink" Target="mailto:francesco@innreg.com" TargetMode="External" Id="rId28" /><Relationship Type="http://schemas.openxmlformats.org/officeDocument/2006/relationships/hyperlink" Target="https://www.linkedin.com/in/fmatteini" TargetMode="External" Id="rId29" /><Relationship Type="http://schemas.openxmlformats.org/officeDocument/2006/relationships/hyperlink" Target="mailto:smurphy@icc-comply.com" TargetMode="External" Id="rId30" /><Relationship Type="http://schemas.openxmlformats.org/officeDocument/2006/relationships/hyperlink" Target="https://www.linkedin.com/in/stephen-murphy-cfa-9903874" TargetMode="External" Id="rId31" /><Relationship Type="http://schemas.openxmlformats.org/officeDocument/2006/relationships/hyperlink" Target="mailto:jennifer@jmtcompliance.com" TargetMode="External" Id="rId32" /><Relationship Type="http://schemas.openxmlformats.org/officeDocument/2006/relationships/hyperlink" Target="https://www.linkedin.com/in/jennifermascioli" TargetMode="External" Id="rId33" /><Relationship Type="http://schemas.openxmlformats.org/officeDocument/2006/relationships/hyperlink" Target="mailto:mswendiman@keybridgecompliance.com" TargetMode="External" Id="rId34" /><Relationship Type="http://schemas.openxmlformats.org/officeDocument/2006/relationships/hyperlink" Target="https://www.linkedin.com/in/matthewswendiman" TargetMode="External" Id="rId35" /><Relationship Type="http://schemas.openxmlformats.org/officeDocument/2006/relationships/hyperlink" Target="mailto:luisa@lfprisksolutions.com" TargetMode="External" Id="rId36" /><Relationship Type="http://schemas.openxmlformats.org/officeDocument/2006/relationships/hyperlink" Target="https://www.linkedin.com/in/luisafranco1" TargetMode="External" Id="rId37" /><Relationship Type="http://schemas.openxmlformats.org/officeDocument/2006/relationships/hyperlink" Target="mailto:ken@luxorbd.com" TargetMode="External" Id="rId38" /><Relationship Type="http://schemas.openxmlformats.org/officeDocument/2006/relationships/hyperlink" Target="https://www.linkedin.com/in/kennorensberg" TargetMode="External" Id="rId39" /><Relationship Type="http://schemas.openxmlformats.org/officeDocument/2006/relationships/hyperlink" Target="mailto:gio@thenextreg.com" TargetMode="External" Id="rId40" /><Relationship Type="http://schemas.openxmlformats.org/officeDocument/2006/relationships/hyperlink" Target="https://www.linkedin.com/in/giovannicorrado1" TargetMode="External" Id="rId41" /><Relationship Type="http://schemas.openxmlformats.org/officeDocument/2006/relationships/hyperlink" Target="mailto:vhogan@npcomply.com" TargetMode="External" Id="rId42" /><Relationship Type="http://schemas.openxmlformats.org/officeDocument/2006/relationships/hyperlink" Target="https://www.linkedin.com/in/victoria-g-hogan-cfa-331217a" TargetMode="External" Id="rId43" /><Relationship Type="http://schemas.openxmlformats.org/officeDocument/2006/relationships/hyperlink" Target="mailto:jonathan.saxton@optima-partners.com" TargetMode="External" Id="rId44" /><Relationship Type="http://schemas.openxmlformats.org/officeDocument/2006/relationships/hyperlink" Target="https://www.linkedin.com/in/jonathan-saxton-12588013" TargetMode="External" Id="rId45" /><Relationship Type="http://schemas.openxmlformats.org/officeDocument/2006/relationships/hyperlink" Target="mailto:pawneet@parcsolutionsllc.com" TargetMode="External" Id="rId46" /><Relationship Type="http://schemas.openxmlformats.org/officeDocument/2006/relationships/hyperlink" Target="https://www.linkedin.com/in/pawneet" TargetMode="External" Id="rId47" /><Relationship Type="http://schemas.openxmlformats.org/officeDocument/2006/relationships/hyperlink" Target="mailto:dlombardy@pillarcompliance.com" TargetMode="External" Id="rId48" /><Relationship Type="http://schemas.openxmlformats.org/officeDocument/2006/relationships/hyperlink" Target="https://www.linkedin.com/in/david-lombardy-6472a5" TargetMode="External" Id="rId49" /><Relationship Type="http://schemas.openxmlformats.org/officeDocument/2006/relationships/hyperlink" Target="mailto:crobinson@quadrantregulatory.com" TargetMode="External" Id="rId50" /><Relationship Type="http://schemas.openxmlformats.org/officeDocument/2006/relationships/hyperlink" Target="https://www.linkedin.com/in/calvinarobinson" TargetMode="External" Id="rId51" /><Relationship Type="http://schemas.openxmlformats.org/officeDocument/2006/relationships/hyperlink" Target="https://www.linkedin.com/in/gerard-clark" TargetMode="External" Id="rId52" /><Relationship Type="http://schemas.openxmlformats.org/officeDocument/2006/relationships/hyperlink" Target="mailto:ivan@riacc.io" TargetMode="External" Id="rId53" /><Relationship Type="http://schemas.openxmlformats.org/officeDocument/2006/relationships/hyperlink" Target="https://www.linkedin.com/in/ivanbarretto30" TargetMode="External" Id="rId54" /><Relationship Type="http://schemas.openxmlformats.org/officeDocument/2006/relationships/hyperlink" Target="https://www.linkedin.com/in/richardrondano" TargetMode="External" Id="rId55" /><Relationship Type="http://schemas.openxmlformats.org/officeDocument/2006/relationships/hyperlink" Target="mailto:agill@rqcgroup.com" TargetMode="External" Id="rId56" /><Relationship Type="http://schemas.openxmlformats.org/officeDocument/2006/relationships/hyperlink" Target="https://www.linkedin.com/in/allison-gill-9860734" TargetMode="External" Id="rId57" /><Relationship Type="http://schemas.openxmlformats.org/officeDocument/2006/relationships/hyperlink" Target="mailto:janaya@sec3compliance.com" TargetMode="External" Id="rId58" /><Relationship Type="http://schemas.openxmlformats.org/officeDocument/2006/relationships/hyperlink" Target="https://www.linkedin.com/in/janayasec3" TargetMode="External" Id="rId59" /><Relationship Type="http://schemas.openxmlformats.org/officeDocument/2006/relationships/hyperlink" Target="mailto:brian@skematic.com" TargetMode="External" Id="rId60" /><Relationship Type="http://schemas.openxmlformats.org/officeDocument/2006/relationships/hyperlink" Target="https://www.linkedin.com/in/brian-kesselman" TargetMode="External" Id="rId61" /><Relationship Type="http://schemas.openxmlformats.org/officeDocument/2006/relationships/hyperlink" Target="mailto:jon@strategybrix.com" TargetMode="External" Id="rId62" /><Relationship Type="http://schemas.openxmlformats.org/officeDocument/2006/relationships/hyperlink" Target="https://www.linkedin.com/in/jon-lo-cams" TargetMode="External" Id="rId63" /><Relationship Type="http://schemas.openxmlformats.org/officeDocument/2006/relationships/hyperlink" Target="https://www.linkedin.com/in/gerald-roop-285639b" TargetMode="External" Id="rId64" /><Relationship Type="http://schemas.openxmlformats.org/officeDocument/2006/relationships/hyperlink" Target="mailto:dorothy.dewitt@toltstrategies.com" TargetMode="External" Id="rId65" /><Relationship Type="http://schemas.openxmlformats.org/officeDocument/2006/relationships/hyperlink" Target="https://www.linkedin.com/in/dorothydewitt" TargetMode="External" Id="rId66" /><Relationship Type="http://schemas.openxmlformats.org/officeDocument/2006/relationships/hyperlink" Target="mailto:mike.evans@vegacompliance.com" TargetMode="External" Id="rId67" /><Relationship Type="http://schemas.openxmlformats.org/officeDocument/2006/relationships/hyperlink" Target="https://www.linkedin.com/in/mgevans" TargetMode="External" Id="rId68" /><Relationship Type="http://schemas.openxmlformats.org/officeDocument/2006/relationships/hyperlink" Target="mailto:jpaul@venningadvisors.com" TargetMode="External" Id="rId69" /><Relationship Type="http://schemas.openxmlformats.org/officeDocument/2006/relationships/hyperlink" Target="https://www.linkedin.com/in/josephhpaul" TargetMode="External" Id="rId70" /><Relationship Type="http://schemas.openxmlformats.org/officeDocument/2006/relationships/hyperlink" Target="mailto:ayuter@yutercompliance.com" TargetMode="External" Id="rId71" /><Relationship Type="http://schemas.openxmlformats.org/officeDocument/2006/relationships/hyperlink" Target="https://www.linkedin.com/in/amy-yuter-b2284544" TargetMode="External" Id="rId72" /><Relationship Type="http://schemas.openxmlformats.org/officeDocument/2006/relationships/hyperlink" Target="mailto:ajaffe@3icollc.com" TargetMode="External" Id="rId73" /><Relationship Type="http://schemas.openxmlformats.org/officeDocument/2006/relationships/hyperlink" Target="https://www.linkedin.com/in/allison-jaffe-3ico" TargetMode="External" Id="rId74" /><Relationship Type="http://schemas.openxmlformats.org/officeDocument/2006/relationships/hyperlink" Target="mailto:rberthy@foreside.com" TargetMode="External" Id="rId75" /><Relationship Type="http://schemas.openxmlformats.org/officeDocument/2006/relationships/hyperlink" Target="https://www.linkedin.com/in/richard-berthy-66812914" TargetMode="External" Id="rId76" /><Relationship Type="http://schemas.openxmlformats.org/officeDocument/2006/relationships/hyperlink" Target="https://www.linkedin.com/in/tiffanylramirez" TargetMode="External" Id="rId77" /><Relationship Type="http://schemas.openxmlformats.org/officeDocument/2006/relationships/hyperlink" Target="mailto:cbekker@bccp-llc.com" TargetMode="External" Id="rId78" /><Relationship Type="http://schemas.openxmlformats.org/officeDocument/2006/relationships/hyperlink" Target="https://www.linkedin.com/in/bekkercompliance" TargetMode="External" Id="rId79" /><Relationship Type="http://schemas.openxmlformats.org/officeDocument/2006/relationships/hyperlink" Target="mailto:dan@bizcompliancepartners.com" TargetMode="External" Id="rId80" /><Relationship Type="http://schemas.openxmlformats.org/officeDocument/2006/relationships/hyperlink" Target="https://www.linkedin.com/in/dan-denton-742a021b" TargetMode="External" Id="rId81" /><Relationship Type="http://schemas.openxmlformats.org/officeDocument/2006/relationships/hyperlink" Target="mailto:robert.williams@cohasset.com" TargetMode="External" Id="rId82" /><Relationship Type="http://schemas.openxmlformats.org/officeDocument/2006/relationships/hyperlink" Target="https://www.linkedin.com/in/robert-f-williams-6227311b" TargetMode="External" Id="rId83" /><Relationship Type="http://schemas.openxmlformats.org/officeDocument/2006/relationships/hyperlink" Target="mailto:craig.neal@complianceadmins.com" TargetMode="External" Id="rId84" /><Relationship Type="http://schemas.openxmlformats.org/officeDocument/2006/relationships/hyperlink" Target="https://www.linkedin.com/in/craigneal" TargetMode="External" Id="rId85" /><Relationship Type="http://schemas.openxmlformats.org/officeDocument/2006/relationships/hyperlink" Target="mailto:apereyra@cxgllc.com" TargetMode="External" Id="rId86" /><Relationship Type="http://schemas.openxmlformats.org/officeDocument/2006/relationships/hyperlink" Target="https://www.linkedin.com/in/alvaro-pereyra-7503a18" TargetMode="External" Id="rId87" /><Relationship Type="http://schemas.openxmlformats.org/officeDocument/2006/relationships/hyperlink" Target="mailto:mavnet@compliance-risk.com" TargetMode="External" Id="rId88" /><Relationship Type="http://schemas.openxmlformats.org/officeDocument/2006/relationships/hyperlink" Target="https://www.linkedin.com/in/mitchavnet" TargetMode="External" Id="rId89" /><Relationship Type="http://schemas.openxmlformats.org/officeDocument/2006/relationships/hyperlink" Target="mailto:pguarino@compliance4.com" TargetMode="External" Id="rId90" /><Relationship Type="http://schemas.openxmlformats.org/officeDocument/2006/relationships/hyperlink" Target="https://www.linkedin.com/in/peterguarino" TargetMode="External" Id="rId91" /><Relationship Type="http://schemas.openxmlformats.org/officeDocument/2006/relationships/hyperlink" Target="mailto:ccucharale@cucharalegroup.com" TargetMode="External" Id="rId92" /><Relationship Type="http://schemas.openxmlformats.org/officeDocument/2006/relationships/hyperlink" Target="https://www.linkedin.com/in/cathy-a-cucharale" TargetMode="External" Id="rId93" /><Relationship Type="http://schemas.openxmlformats.org/officeDocument/2006/relationships/hyperlink" Target="mailto:jeff.chapman@dinsmorecomplianceservices.com" TargetMode="External" Id="rId94" /><Relationship Type="http://schemas.openxmlformats.org/officeDocument/2006/relationships/hyperlink" Target="https://www.linkedin.com/in/jeffchapman2" TargetMode="External" Id="rId95" /><Relationship Type="http://schemas.openxmlformats.org/officeDocument/2006/relationships/hyperlink" Target="mailto:lance@eadvisorcompliance.com" TargetMode="External" Id="rId96" /><Relationship Type="http://schemas.openxmlformats.org/officeDocument/2006/relationships/hyperlink" Target="https://www.linkedin.com/in/lancemackenzie" TargetMode="External" Id="rId97" /><Relationship Type="http://schemas.openxmlformats.org/officeDocument/2006/relationships/hyperlink" Target="mailto:todd@eefirms.com" TargetMode="External" Id="rId98" /><Relationship Type="http://schemas.openxmlformats.org/officeDocument/2006/relationships/hyperlink" Target="https://www.linkedin.com/in/todd-spillane-336a373" TargetMode="External" Id="rId99" /><Relationship Type="http://schemas.openxmlformats.org/officeDocument/2006/relationships/hyperlink" Target="mailto:nreithinger@eventusag.com" TargetMode="External" Id="rId100" /><Relationship Type="http://schemas.openxmlformats.org/officeDocument/2006/relationships/hyperlink" Target="https://www.linkedin.com/in/neil-reithinger-2849833" TargetMode="External" Id="rId101" /><Relationship Type="http://schemas.openxmlformats.org/officeDocument/2006/relationships/hyperlink" Target="mailto:ellen.harvin@fairviewinvest.com" TargetMode="External" Id="rId102" /><Relationship Type="http://schemas.openxmlformats.org/officeDocument/2006/relationships/hyperlink" Target="https://www.linkedin.com/in/ellen-harvin-838a264b" TargetMode="External" Id="rId103" /><Relationship Type="http://schemas.openxmlformats.org/officeDocument/2006/relationships/hyperlink" Target="mailto:shomuth@fitsconsulting.com" TargetMode="External" Id="rId104" /><Relationship Type="http://schemas.openxmlformats.org/officeDocument/2006/relationships/hyperlink" Target="https://www.linkedin.com/in/smhomuth" TargetMode="External" Id="rId105" /><Relationship Type="http://schemas.openxmlformats.org/officeDocument/2006/relationships/hyperlink" Target="https://www.linkedin.com/in/chip-arvantides-3a61098" TargetMode="External" Id="rId106" /><Relationship Type="http://schemas.openxmlformats.org/officeDocument/2006/relationships/hyperlink" Target="mailto:amy@compliantperformance.com" TargetMode="External" Id="rId107" /><Relationship Type="http://schemas.openxmlformats.org/officeDocument/2006/relationships/hyperlink" Target="https://www.linkedin.com/in/amyjonescipm" TargetMode="External" Id="rId108" /><Relationship Type="http://schemas.openxmlformats.org/officeDocument/2006/relationships/hyperlink" Target="mailto:stacie@integrated-compliance.com" TargetMode="External" Id="rId109" /><Relationship Type="http://schemas.openxmlformats.org/officeDocument/2006/relationships/hyperlink" Target="https://www.linkedin.com/in/stacie-craddock-17124298" TargetMode="External" Id="rId110" /><Relationship Type="http://schemas.openxmlformats.org/officeDocument/2006/relationships/hyperlink" Target="mailto:dmillar@integrity2c.com" TargetMode="External" Id="rId111" /><Relationship Type="http://schemas.openxmlformats.org/officeDocument/2006/relationships/hyperlink" Target="https://www.linkedin.com/in/millardavidr" TargetMode="External" Id="rId112" /><Relationship Type="http://schemas.openxmlformats.org/officeDocument/2006/relationships/hyperlink" Target="https://www.linkedin.com/in/beverlyfetcko" TargetMode="External" Id="rId113" /><Relationship Type="http://schemas.openxmlformats.org/officeDocument/2006/relationships/hyperlink" Target="mailto:gflorio@florioleahy.com" TargetMode="External" Id="rId114" /><Relationship Type="http://schemas.openxmlformats.org/officeDocument/2006/relationships/hyperlink" Target="https://www.linkedin.com/in/gregory-florio-6854433b" TargetMode="External" Id="rId115" /><Relationship Type="http://schemas.openxmlformats.org/officeDocument/2006/relationships/hyperlink" Target="mailto:patrick.dennis@oysterllc.com" TargetMode="External" Id="rId116" /><Relationship Type="http://schemas.openxmlformats.org/officeDocument/2006/relationships/hyperlink" Target="https://www.linkedin.com/in/patrickmdennis" TargetMode="External" Id="rId117" /><Relationship Type="http://schemas.openxmlformats.org/officeDocument/2006/relationships/hyperlink" Target="mailto:dpatten@pattentraining.com" TargetMode="External" Id="rId118" /><Relationship Type="http://schemas.openxmlformats.org/officeDocument/2006/relationships/hyperlink" Target="https://www.linkedin.com/in/deirdre-patten-65ba755" TargetMode="External" Id="rId119" /><Relationship Type="http://schemas.openxmlformats.org/officeDocument/2006/relationships/hyperlink" Target="mailto:deacon@qcsfinancialservices.com" TargetMode="External" Id="rId120" /><Relationship Type="http://schemas.openxmlformats.org/officeDocument/2006/relationships/hyperlink" Target="https://www.linkedin.com/in/deacon-john-durden-5b6a8517" TargetMode="External" Id="rId121" /><Relationship Type="http://schemas.openxmlformats.org/officeDocument/2006/relationships/hyperlink" Target="mailto:kent@reliantcompliance.com" TargetMode="External" Id="rId122" /><Relationship Type="http://schemas.openxmlformats.org/officeDocument/2006/relationships/hyperlink" Target="https://www.linkedin.com/in/kent-keister" TargetMode="External" Id="rId123" /><Relationship Type="http://schemas.openxmlformats.org/officeDocument/2006/relationships/hyperlink" Target="mailto:jjames@ria-compliance-consultants.com" TargetMode="External" Id="rId124" /><Relationship Type="http://schemas.openxmlformats.org/officeDocument/2006/relationships/hyperlink" Target="https://www.linkedin.com/in/jarrodjames" TargetMode="External" Id="rId125" /><Relationship Type="http://schemas.openxmlformats.org/officeDocument/2006/relationships/hyperlink" Target="mailto:blake@riacomp.com" TargetMode="External" Id="rId126" /><Relationship Type="http://schemas.openxmlformats.org/officeDocument/2006/relationships/hyperlink" Target="https://www.linkedin.com/in/blakebjordahl" TargetMode="External" Id="rId127" /><Relationship Type="http://schemas.openxmlformats.org/officeDocument/2006/relationships/hyperlink" Target="mailto:liz@seccsllc.com" TargetMode="External" Id="rId128" /><Relationship Type="http://schemas.openxmlformats.org/officeDocument/2006/relationships/hyperlink" Target="https://www.linkedin.com/in/elizabeth-cope-cpa-cipm-cscp-b521bb8" TargetMode="External" Id="rId129" /><Relationship Type="http://schemas.openxmlformats.org/officeDocument/2006/relationships/hyperlink" Target="mailto:ssimon@secadvisors.com" TargetMode="External" Id="rId130" /><Relationship Type="http://schemas.openxmlformats.org/officeDocument/2006/relationships/hyperlink" Target="https://www.linkedin.com/in/stephen-simon-92301812" TargetMode="External" Id="rId131" /><Relationship Type="http://schemas.openxmlformats.org/officeDocument/2006/relationships/hyperlink" Target="mailto:kyle.weeks@mastercompliance.com" TargetMode="External" Id="rId132" /><Relationship Type="http://schemas.openxmlformats.org/officeDocument/2006/relationships/hyperlink" Target="https://www.linkedin.com/in/kyleweeks63" TargetMode="External" Id="rId133" /><Relationship Type="http://schemas.openxmlformats.org/officeDocument/2006/relationships/hyperlink" Target="mailto:fkhan@silverreg.com" TargetMode="External" Id="rId134" /><Relationship Type="http://schemas.openxmlformats.org/officeDocument/2006/relationships/hyperlink" Target="https://www.linkedin.com/in/fizzakhan1" TargetMode="External" Id="rId135" /><Relationship Type="http://schemas.openxmlformats.org/officeDocument/2006/relationships/hyperlink" Target="mailto:mjames@summitcompliancegroup.com" TargetMode="External" Id="rId136" /><Relationship Type="http://schemas.openxmlformats.org/officeDocument/2006/relationships/hyperlink" Target="https://www.linkedin.com/in/maureenjames1" TargetMode="External" Id="rId137" /><Relationship Type="http://schemas.openxmlformats.org/officeDocument/2006/relationships/hyperlink" Target="mailto:trey.loughran@acaglobal.com" TargetMode="External" Id="rId138" /><Relationship Type="http://schemas.openxmlformats.org/officeDocument/2006/relationships/hyperlink" Target="https://www.linkedin.com/in/treyloughran" TargetMode="External" Id="rId139" /><Relationship Type="http://schemas.openxmlformats.org/officeDocument/2006/relationships/hyperlink" Target="https://www.linkedin.com/in/jay-haas-a7560a17" TargetMode="External" Id="rId140" /><Relationship Type="http://schemas.openxmlformats.org/officeDocument/2006/relationships/hyperlink" Target="mailto:summit@marketcounsel.com" TargetMode="External" Id="rId141" /><Relationship Type="http://schemas.openxmlformats.org/officeDocument/2006/relationships/hyperlink" Target="https://www.linkedin.com/in/hamburger" TargetMode="External" Id="rId142" /><Relationship Type="http://schemas.openxmlformats.org/officeDocument/2006/relationships/hyperlink" Target="mailto:kgolsan@golsanscruggs.com" TargetMode="External" Id="rId143" /><Relationship Type="http://schemas.openxmlformats.org/officeDocument/2006/relationships/hyperlink" Target="https://www.linkedin.com/in/kenneth-golsan-46555520" TargetMode="External" Id="rId144" /><Relationship Type="http://schemas.openxmlformats.org/officeDocument/2006/relationships/hyperlink" Target="mailto:crisl@hcpnational.com" TargetMode="External" Id="rId145" /><Relationship Type="http://schemas.openxmlformats.org/officeDocument/2006/relationships/hyperlink" Target="https://www.linkedin.com/in/andrea-%e2%80%9ccris%e2%80%9d-dyer-06b58233" TargetMode="External" Id="rId146" /><Relationship Type="http://schemas.openxmlformats.org/officeDocument/2006/relationships/hyperlink" Target="mailto:nborghardt@locktonaffinity.com" TargetMode="External" Id="rId147" /><Relationship Type="http://schemas.openxmlformats.org/officeDocument/2006/relationships/hyperlink" Target="https://www.linkedin.com/in/nathan-borghardt-95224253" TargetMode="External" Id="rId148" /><Relationship Type="http://schemas.openxmlformats.org/officeDocument/2006/relationships/hyperlink" Target="mailto:karen@thecoylegroup.com" TargetMode="External" Id="rId149" /><Relationship Type="http://schemas.openxmlformats.org/officeDocument/2006/relationships/hyperlink" Target="https://www.linkedin.com/in/karen-coyle-b7679376" TargetMode="External" Id="rId150" /><Relationship Type="http://schemas.openxmlformats.org/officeDocument/2006/relationships/hyperlink" Target="mailto:hbaltch@dynastyfp.com" TargetMode="External" Id="rId151" /><Relationship Type="http://schemas.openxmlformats.org/officeDocument/2006/relationships/hyperlink" Target="https://www.linkedin.com/in/harrisbaltch" TargetMode="External" Id="rId152" /><Relationship Type="http://schemas.openxmlformats.org/officeDocument/2006/relationships/hyperlink" Target="mailto:enothstein@sanctuarywealth.com" TargetMode="External" Id="rId153" /><Relationship Type="http://schemas.openxmlformats.org/officeDocument/2006/relationships/hyperlink" Target="https://www.linkedin.com/in/eric-nothstein-6098bb14" TargetMode="External" Id="rId154" /><Relationship Type="http://schemas.openxmlformats.org/officeDocument/2006/relationships/hyperlink" Target="mailto:ccalisin@hcglobalfs.com" TargetMode="External" Id="rId155" /><Relationship Type="http://schemas.openxmlformats.org/officeDocument/2006/relationships/hyperlink" Target="https://www.linkedin.com/in/casper-calisin-61a2b19" TargetMode="External" Id="rId156" /><Relationship Type="http://schemas.openxmlformats.org/officeDocument/2006/relationships/hyperlink" Target="mailto:nav@navconsulting.net" TargetMode="External" Id="rId157" /><Relationship Type="http://schemas.openxmlformats.org/officeDocument/2006/relationships/hyperlink" Target="https://www.linkedin.com/in/nav-gupta-6b385b7" TargetMode="External" Id="rId158" /><Relationship Type="http://schemas.openxmlformats.org/officeDocument/2006/relationships/hyperlink" Target="mailto:ransell@opusfundservices.com" TargetMode="External" Id="rId159" /><Relationship Type="http://schemas.openxmlformats.org/officeDocument/2006/relationships/hyperlink" Target="https://www.linkedin.com/in/robert-ansell-015aab255" TargetMode="External" Id="rId160" /><Relationship Type="http://schemas.openxmlformats.org/officeDocument/2006/relationships/hyperlink" Target="mailto:bkawal@advisorgrowthllc.com" TargetMode="External" Id="rId161" /><Relationship Type="http://schemas.openxmlformats.org/officeDocument/2006/relationships/hyperlink" Target="https://www.linkedin.com/in/brandonkawal" TargetMode="External" Id="rId162" /><Relationship Type="http://schemas.openxmlformats.org/officeDocument/2006/relationships/hyperlink" Target="mailto:gordon.ross@devoe-co.com" TargetMode="External" Id="rId163" /><Relationship Type="http://schemas.openxmlformats.org/officeDocument/2006/relationships/hyperlink" Target="https://www.linkedin.com/in/gordonross-gla" TargetMode="External" Id="rId164" /><Relationship Type="http://schemas.openxmlformats.org/officeDocument/2006/relationships/hyperlink" Target="mailto:pklusmeyer@parkmac.com" TargetMode="External" Id="rId165" /><Relationship Type="http://schemas.openxmlformats.org/officeDocument/2006/relationships/hyperlink" Target="https://www.linkedin.com/in/patricia-klusmeyer-4b6915b" TargetMode="External" Id="rId166" /><Relationship Type="http://schemas.openxmlformats.org/officeDocument/2006/relationships/hyperlink" Target="https://www.linkedin.com/in/john-macdonald-683a0b15" TargetMode="External" Id="rId167" /><Relationship Type="http://schemas.openxmlformats.org/officeDocument/2006/relationships/hyperlink" Target="mailto:hanh@complect.com" TargetMode="External" Id="rId168" /><Relationship Type="http://schemas.openxmlformats.org/officeDocument/2006/relationships/hyperlink" Target="https://www.linkedin.com/in/hanh-t-nguyen" TargetMode="External" Id="rId169" /><Relationship Type="http://schemas.openxmlformats.org/officeDocument/2006/relationships/hyperlink" Target="mailto:wrodriguez@dsfadv.com" TargetMode="External" Id="rId170" /><Relationship Type="http://schemas.openxmlformats.org/officeDocument/2006/relationships/hyperlink" Target="https://www.linkedin.com/in/wilfredocpa" TargetMode="External" Id="rId171" /><Relationship Type="http://schemas.openxmlformats.org/officeDocument/2006/relationships/hyperlink" Target="mailto:mlourie@freshnotiongroup.com" TargetMode="External" Id="rId172" /><Relationship Type="http://schemas.openxmlformats.org/officeDocument/2006/relationships/hyperlink" Target="https://www.linkedin.com/in/matthew-lourie-19b12a15" TargetMode="External" Id="rId173" /><Relationship Type="http://schemas.openxmlformats.org/officeDocument/2006/relationships/hyperlink" Target="mailto:mjudge@genesisfilings.com" TargetMode="External" Id="rId174" /><Relationship Type="http://schemas.openxmlformats.org/officeDocument/2006/relationships/hyperlink" Target="https://www.linkedin.com/in/matthew-judge74" TargetMode="External" Id="rId175" /><Relationship Type="http://schemas.openxmlformats.org/officeDocument/2006/relationships/hyperlink" Target="mailto:george.quinn@tbhconsulting.com" TargetMode="External" Id="rId176" /><Relationship Type="http://schemas.openxmlformats.org/officeDocument/2006/relationships/hyperlink" Target="https://www.linkedin.com/in/george-quinn-72158389" TargetMode="External" Id="rId1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" t="inlineStr">
        <is>
          <t>Centience partner referral contacts</t>
        </is>
      </c>
    </row>
    <row r="2">
      <c r="A2" s="2" t="inlineStr">
        <is>
          <t>Source: Apollo.io people search + bulk enrichment, August 2026. 183 credits. Zero missing records across four waves.</t>
        </is>
      </c>
    </row>
    <row r="3">
      <c r="A3" s="2" t="inlineStr">
        <is>
          <t>Built from partner-referral-contacts-ALL.csv in docs/marketing/. Strategy, commission tiers and legal guardrails live in partner-referral-program.md.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Summary — counts by tier and email status. All formulas over All Contacts.</t>
        </is>
      </c>
    </row>
    <row r="7">
      <c r="A7" s="2" t="inlineStr">
        <is>
          <t>All Contacts — every one of the 170 rows. Filter/sort freely; the Summary follows.</t>
        </is>
      </c>
    </row>
    <row r="8">
      <c r="A8" s="2" t="inlineStr">
        <is>
          <t>Send List — one contact per firm (93 rows). This is the real campaign size, not 170.</t>
        </is>
      </c>
    </row>
    <row r="9">
      <c r="A9" s="2" t="inlineStr"/>
    </row>
    <row r="10">
      <c r="A10" s="3" t="inlineStr">
        <is>
          <t>Fill these in (yellow cells on Send List)</t>
        </is>
      </c>
    </row>
    <row r="11">
      <c r="A11" s="2" t="inlineStr">
        <is>
          <t>Owner · Status · Date contacted · Notes are blank for you. Nothing else needs editing.</t>
        </is>
      </c>
    </row>
    <row r="12">
      <c r="A12" s="2" t="inlineStr">
        <is>
          <t>Example row: Owner "Orville" · Status "Replied — call booked" · Date contacted 2026-08-11 · Notes "Wants co-branded Score for 2 clients"</t>
        </is>
      </c>
    </row>
    <row r="13">
      <c r="A13" s="2" t="inlineStr"/>
    </row>
    <row r="14">
      <c r="A14" s="3" t="inlineStr">
        <is>
          <t>Before you send</t>
        </is>
      </c>
    </row>
    <row r="15">
      <c r="A15" s="2" t="inlineStr">
        <is>
          <t>ONE FIRM IS ONE RELATIONSHIP. "Contacts at firm" &gt; 1 means alternates exist; they are fallbacks, not extra targets. Emailing three founding principals at one firm in a week reads as a scrape.</t>
        </is>
      </c>
    </row>
    <row r="16">
      <c r="A16" s="2" t="inlineStr">
        <is>
          <t>Two emails are GUESSED, not verified (amber in Email status): Deacon Durden, Stephen Simon. Expect bounces.</t>
        </is>
      </c>
    </row>
    <row r="17">
      <c r="A17" s="2" t="inlineStr">
        <is>
          <t>16 rows have NO email — all 170 have a LinkedIn profile, so use that channel. Filter Email status = unavailable.</t>
        </is>
      </c>
    </row>
    <row r="18">
      <c r="A18" s="2" t="inlineStr">
        <is>
          <t>Email domains differ from websites at: Dynasty (@dynastyfp.com), DeVoe (@devoe-co.com), NAV (@navconsulting.net), Parker MacIntyre (@parkmac.com), HC Global (@hcglobalfs.com), Chenery/Thomas Cain (@chenerygroup.com), DFP/Michael Glynn (@sddco.com), Guardian/Amy Jones (@compliantperformance.com), Integrity/David Millar (@integrity2c.com).</t>
        </is>
      </c>
    </row>
    <row r="19">
      <c r="A19" s="2" t="inlineStr">
        <is>
          <t>Not a mailbox: Brian Hamburger summit@marketcounsel.com is an event alias — use COO Walter Booker. Claire McCleskey com@clarity-consultancy.com looks malformed.</t>
        </is>
      </c>
    </row>
    <row r="20">
      <c r="A20" s="2" t="inlineStr">
        <is>
          <t>Catch-all domains (weakens "verified"): NAV Fund Services, Business Compliance Partners, Oyster Consulting.</t>
        </is>
      </c>
    </row>
    <row r="21">
      <c r="A21" s="2" t="inlineStr">
        <is>
          <t>Optima Partners already exists as a HubSpot account — check relationship ownership first.</t>
        </is>
      </c>
    </row>
    <row r="22">
      <c r="A22" s="2" t="inlineStr">
        <is>
          <t>Securities counsel (3 rows) are NON-CASH partners only — bar rules bar paying for a client recommendation. See partner-referral-program.md section 8.</t>
        </is>
      </c>
    </row>
    <row r="23">
      <c r="A23" s="2" t="inlineStr">
        <is>
          <t>Cold B2B contacts from a data provider: warmed sending domain, personal 1:1, honor opt-outs.</t>
        </is>
      </c>
    </row>
    <row r="24">
      <c r="A24" s="2" t="inlineStr"/>
    </row>
    <row r="25">
      <c r="A25" s="3" t="inlineStr">
        <is>
          <t>How Send List picks the contact</t>
        </is>
      </c>
    </row>
    <row r="26">
      <c r="A26" s="2" t="inlineStr">
        <is>
          <t>Highest-ranked title per firm, preferring business-development roles, then founder/CEO/owner, then president, then managing partner, then CTO/COO, then MD/principal/VP; a verified email breaks ties. It is a heuristic, not a judgement about the person — every alternate is on All Contacts.</t>
        </is>
      </c>
    </row>
    <row r="28">
      <c r="A28" s="3" t="inlineStr">
        <is>
          <t>Formula note</t>
        </is>
      </c>
    </row>
    <row r="29">
      <c r="A29" s="19" t="inlineStr">
        <is>
          <t>The Summary tab is formula-driven. This file was written by a script, so formula cells hold no cached value until Excel opens and calculates them — that happens automatically on open, and every function used (COUNTA, COUNTIF, SUMPRODUCT, SUM) is standard. Expected results are printed beside each figure on Summary so a wrong number is obvious.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Centience partner referral list — summary</t>
        </is>
      </c>
    </row>
    <row r="2">
      <c r="A2" s="4" t="inlineStr">
        <is>
          <t>All figures are formulas over the All Contacts sheet; they update if you edit or filter that data.</t>
        </is>
      </c>
    </row>
    <row r="4">
      <c r="A4" s="5" t="inlineStr">
        <is>
          <t>Metric</t>
        </is>
      </c>
      <c r="B4" s="5" t="inlineStr">
        <is>
          <t>Count</t>
        </is>
      </c>
    </row>
    <row r="5">
      <c r="A5" s="6" t="inlineStr">
        <is>
          <t>Contacts</t>
        </is>
      </c>
      <c r="B5" s="7">
        <f>COUNTA('All Contacts'!B2:B171)</f>
        <v/>
      </c>
      <c r="D5" s="20" t="inlineStr">
        <is>
          <t>Expected: 170</t>
        </is>
      </c>
    </row>
    <row r="6">
      <c r="A6" s="6" t="inlineStr">
        <is>
          <t>Distinct firms</t>
        </is>
      </c>
      <c r="B6" s="7">
        <f>SUMPRODUCT((('All Contacts'!D2:D171&lt;&gt;"")/COUNTIF('All Contacts'!D2:D171,'All Contacts'!D2:D171&amp;"")))</f>
        <v/>
      </c>
      <c r="D6" s="20" t="inlineStr">
        <is>
          <t>Expected: 93</t>
        </is>
      </c>
    </row>
    <row r="7">
      <c r="A7" s="6" t="inlineStr">
        <is>
          <t>LinkedIn profiles</t>
        </is>
      </c>
      <c r="B7" s="7">
        <f>COUNTA('All Contacts'!I2:I171)</f>
        <v/>
      </c>
      <c r="D7" s="20" t="inlineStr">
        <is>
          <t>Expected: 170</t>
        </is>
      </c>
    </row>
    <row r="8">
      <c r="A8" s="6" t="inlineStr">
        <is>
          <t>Verified email</t>
        </is>
      </c>
      <c r="B8" s="7">
        <f>COUNTIF('All Contacts'!H2:H171,"verified")</f>
        <v/>
      </c>
      <c r="D8" s="20" t="inlineStr">
        <is>
          <t>Expected: 152</t>
        </is>
      </c>
    </row>
    <row r="9">
      <c r="A9" s="6" t="inlineStr">
        <is>
          <t>Guessed email (extrapolated)</t>
        </is>
      </c>
      <c r="B9" s="7">
        <f>COUNTIF('All Contacts'!H2:H171,"extrapolated")</f>
        <v/>
      </c>
      <c r="D9" s="20" t="inlineStr">
        <is>
          <t>Expected: 2</t>
        </is>
      </c>
    </row>
    <row r="10">
      <c r="A10" s="6" t="inlineStr">
        <is>
          <t>No email — LinkedIn only</t>
        </is>
      </c>
      <c r="B10" s="7">
        <f>COUNTIF('All Contacts'!H2:H171,"unavailable")</f>
        <v/>
      </c>
      <c r="D10" s="20" t="inlineStr">
        <is>
          <t>Expected: 16</t>
        </is>
      </c>
    </row>
    <row r="11">
      <c r="A11" s="6" t="inlineStr">
        <is>
          <t>Send List rows (1 per firm)</t>
        </is>
      </c>
      <c r="B11" s="7">
        <f>COUNTA('Send List'!B2:B94)</f>
        <v/>
      </c>
      <c r="D11" s="20" t="inlineStr">
        <is>
          <t>Expected: 93</t>
        </is>
      </c>
    </row>
    <row r="12">
      <c r="A12" s="5" t="n"/>
      <c r="B12" s="5" t="n"/>
      <c r="C12" s="5" t="n"/>
    </row>
    <row r="13">
      <c r="A13" t="inlineStr">
        <is>
          <t>Tier</t>
        </is>
      </c>
      <c r="B13" t="inlineStr">
        <is>
          <t>Contacts</t>
        </is>
      </c>
      <c r="C13" t="inlineStr">
        <is>
          <t>Firms</t>
        </is>
      </c>
    </row>
    <row r="14">
      <c r="A14" s="6" t="inlineStr">
        <is>
          <t>Boutique compliance</t>
        </is>
      </c>
      <c r="B14" s="8">
        <f>COUNTIF('All Contacts'!A2:A171,A14)</f>
        <v/>
      </c>
      <c r="C14" s="8">
        <f>COUNTIF('Send List'!A2:A94,A14)</f>
        <v/>
      </c>
    </row>
    <row r="15">
      <c r="A15" s="6" t="inlineStr">
        <is>
          <t>Compliance (national)</t>
        </is>
      </c>
      <c r="B15" s="8">
        <f>COUNTIF('All Contacts'!A2:A171,A15)</f>
        <v/>
      </c>
      <c r="C15" s="8">
        <f>COUNTIF('Send List'!A2:A94,A15)</f>
        <v/>
      </c>
    </row>
    <row r="16">
      <c r="A16" s="6" t="inlineStr">
        <is>
          <t>Enterprise compliance</t>
        </is>
      </c>
      <c r="B16" s="8">
        <f>COUNTIF('All Contacts'!A2:A171,A16)</f>
        <v/>
      </c>
      <c r="C16" s="8">
        <f>COUNTIF('Send List'!A2:A94,A16)</f>
        <v/>
      </c>
    </row>
    <row r="17">
      <c r="A17" s="6" t="inlineStr">
        <is>
          <t>Compliance + legal</t>
        </is>
      </c>
      <c r="B17" s="8">
        <f>COUNTIF('All Contacts'!A2:A171,A17)</f>
        <v/>
      </c>
      <c r="C17" s="8">
        <f>COUNTIF('Send List'!A2:A94,A17)</f>
        <v/>
      </c>
    </row>
    <row r="18">
      <c r="A18" s="6" t="inlineStr">
        <is>
          <t>Cyber / E&amp;O broker</t>
        </is>
      </c>
      <c r="B18" s="8">
        <f>COUNTIF('All Contacts'!A2:A171,A18)</f>
        <v/>
      </c>
      <c r="C18" s="8">
        <f>COUNTIF('Send List'!A2:A94,A18)</f>
        <v/>
      </c>
    </row>
    <row r="19">
      <c r="A19" s="6" t="inlineStr">
        <is>
          <t>RIA platform</t>
        </is>
      </c>
      <c r="B19" s="8">
        <f>COUNTIF('All Contacts'!A2:A171,A19)</f>
        <v/>
      </c>
      <c r="C19" s="8">
        <f>COUNTIF('Send List'!A2:A94,A19)</f>
        <v/>
      </c>
    </row>
    <row r="20">
      <c r="A20" s="6" t="inlineStr">
        <is>
          <t>Fund administrator</t>
        </is>
      </c>
      <c r="B20" s="8">
        <f>COUNTIF('All Contacts'!A2:A171,A20)</f>
        <v/>
      </c>
      <c r="C20" s="8">
        <f>COUNTIF('Send List'!A2:A94,A20)</f>
        <v/>
      </c>
    </row>
    <row r="21">
      <c r="A21" s="6" t="inlineStr">
        <is>
          <t>RIA M&amp;A advisor</t>
        </is>
      </c>
      <c r="B21" s="8">
        <f>COUNTIF('All Contacts'!A2:A171,A21)</f>
        <v/>
      </c>
      <c r="C21" s="8">
        <f>COUNTIF('Send List'!A2:A94,A21)</f>
        <v/>
      </c>
    </row>
    <row r="22">
      <c r="A22" s="6" t="inlineStr">
        <is>
          <t>Securities counsel</t>
        </is>
      </c>
      <c r="B22" s="8">
        <f>COUNTIF('All Contacts'!A2:A171,A22)</f>
        <v/>
      </c>
      <c r="C22" s="8">
        <f>COUNTIF('Send List'!A2:A94,A22)</f>
        <v/>
      </c>
    </row>
    <row r="23">
      <c r="A23" s="6" t="inlineStr">
        <is>
          <t>Adjacent / weaker fit</t>
        </is>
      </c>
      <c r="B23" s="8">
        <f>COUNTIF('All Contacts'!A2:A171,A23)</f>
        <v/>
      </c>
      <c r="C23" s="8">
        <f>COUNTIF('Send List'!A2:A94,A23)</f>
        <v/>
      </c>
    </row>
    <row r="24">
      <c r="A24" s="9" t="inlineStr">
        <is>
          <t>Total</t>
        </is>
      </c>
      <c r="B24" s="7">
        <f>SUM(B14:B23)</f>
        <v/>
      </c>
      <c r="C24" s="7">
        <f>SUM(C14:C23)</f>
        <v/>
      </c>
    </row>
    <row r="26">
      <c r="A26" s="21" t="inlineStr">
        <is>
          <t>Cells B5:C24 are formulas. Excel computes them the moment you open this file. If any figure differs from the "Expected" note beside it, the sheet was filtered or edited — recheck before relying on it.</t>
        </is>
      </c>
    </row>
    <row r="27"/>
    <row r="28"/>
  </sheetData>
  <mergeCells count="1">
    <mergeCell ref="A26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30" customWidth="1" min="4" max="4"/>
    <col width="7" customWidth="1" min="5" max="5"/>
    <col width="24" customWidth="1" min="6" max="6"/>
    <col width="32" customWidth="1" min="7" max="7"/>
    <col width="12" customWidth="1" min="8" max="8"/>
    <col width="30" customWidth="1" min="9" max="9"/>
    <col width="22" customWidth="1" min="10" max="10"/>
    <col width="17" customWidth="1" min="11" max="11"/>
    <col width="6" customWidth="1" min="12" max="12"/>
    <col width="25" customWidth="1" min="13" max="13"/>
  </cols>
  <sheetData>
    <row r="1" ht="28" customHeight="1">
      <c r="A1" s="10" t="inlineStr">
        <is>
          <t>Tier</t>
        </is>
      </c>
      <c r="B1" s="10" t="inlineStr">
        <is>
          <t>Name</t>
        </is>
      </c>
      <c r="C1" s="10" t="inlineStr">
        <is>
          <t>Title</t>
        </is>
      </c>
      <c r="D1" s="10" t="inlineStr">
        <is>
          <t>Firm</t>
        </is>
      </c>
      <c r="E1" s="10" t="inlineStr">
        <is>
          <t>Contacts at firm</t>
        </is>
      </c>
      <c r="F1" s="10" t="inlineStr">
        <is>
          <t>Firm domain</t>
        </is>
      </c>
      <c r="G1" s="10" t="inlineStr">
        <is>
          <t>Work email</t>
        </is>
      </c>
      <c r="H1" s="10" t="inlineStr">
        <is>
          <t>Email status</t>
        </is>
      </c>
      <c r="I1" s="10" t="inlineStr">
        <is>
          <t>LinkedIn profile</t>
        </is>
      </c>
      <c r="J1" s="10" t="inlineStr">
        <is>
          <t>Location</t>
        </is>
      </c>
      <c r="K1" s="10" t="inlineStr">
        <is>
          <t>Firm phone</t>
        </is>
      </c>
      <c r="L1" s="10" t="inlineStr">
        <is>
          <t>Wave</t>
        </is>
      </c>
      <c r="M1" s="10" t="inlineStr">
        <is>
          <t>Apollo person ID</t>
        </is>
      </c>
    </row>
    <row r="2">
      <c r="A2" s="11" t="inlineStr">
        <is>
          <t>Boutique compliance</t>
        </is>
      </c>
      <c r="B2" s="11" t="inlineStr">
        <is>
          <t>Vick Ekizian</t>
        </is>
      </c>
      <c r="C2" s="11" t="inlineStr">
        <is>
          <t>Founder and CEO</t>
        </is>
      </c>
      <c r="D2" s="11" t="inlineStr">
        <is>
          <t>5 Pillars Compliance Consulting, LLC</t>
        </is>
      </c>
      <c r="E2" s="12" t="n">
        <v>1</v>
      </c>
      <c r="F2" s="11" t="inlineStr">
        <is>
          <t>5pillarscompliance.com</t>
        </is>
      </c>
      <c r="G2" s="13" t="inlineStr">
        <is>
          <t>vick@5pillarscompliance.com</t>
        </is>
      </c>
      <c r="H2" s="14" t="inlineStr">
        <is>
          <t>verified</t>
        </is>
      </c>
      <c r="I2" s="13" t="inlineStr">
        <is>
          <t>/in/vickekizian</t>
        </is>
      </c>
      <c r="J2" s="11" t="inlineStr">
        <is>
          <t>Los Angeles California</t>
        </is>
      </c>
      <c r="K2" s="11" t="inlineStr">
        <is>
          <t>+1 818-523-9762</t>
        </is>
      </c>
      <c r="L2" s="12" t="n">
        <v>1</v>
      </c>
      <c r="M2" s="11" t="inlineStr">
        <is>
          <t>55706c157369646bf4db1500</t>
        </is>
      </c>
    </row>
    <row r="3">
      <c r="A3" s="11" t="inlineStr">
        <is>
          <t>Boutique compliance</t>
        </is>
      </c>
      <c r="B3" s="11" t="inlineStr">
        <is>
          <t>Lisa Roitman</t>
        </is>
      </c>
      <c r="C3" s="11" t="inlineStr">
        <is>
          <t>Managing Partner</t>
        </is>
      </c>
      <c r="D3" s="11" t="inlineStr">
        <is>
          <t>Abide Consulting Group</t>
        </is>
      </c>
      <c r="E3" s="15" t="n">
        <v>3</v>
      </c>
      <c r="F3" s="11" t="inlineStr">
        <is>
          <t>abidegrp.com</t>
        </is>
      </c>
      <c r="G3" s="13" t="inlineStr">
        <is>
          <t>lisa@abidegrp.com</t>
        </is>
      </c>
      <c r="H3" s="14" t="inlineStr">
        <is>
          <t>verified</t>
        </is>
      </c>
      <c r="I3" s="13" t="inlineStr">
        <is>
          <t>/in/lisaroitman</t>
        </is>
      </c>
      <c r="J3" s="11" t="inlineStr">
        <is>
          <t>New York New York</t>
        </is>
      </c>
      <c r="K3" s="11" t="inlineStr">
        <is>
          <t>+1 212-362-4598</t>
        </is>
      </c>
      <c r="L3" s="12" t="n">
        <v>1</v>
      </c>
      <c r="M3" s="11" t="inlineStr">
        <is>
          <t>600f16e2bc34ca00016944cf</t>
        </is>
      </c>
    </row>
    <row r="4">
      <c r="A4" s="11" t="inlineStr">
        <is>
          <t>Boutique compliance</t>
        </is>
      </c>
      <c r="B4" s="11" t="inlineStr">
        <is>
          <t>Patrick Harris</t>
        </is>
      </c>
      <c r="C4" s="11" t="inlineStr">
        <is>
          <t>Managing Director</t>
        </is>
      </c>
      <c r="D4" s="11" t="inlineStr">
        <is>
          <t>Abide Consulting Group</t>
        </is>
      </c>
      <c r="E4" s="15" t="n">
        <v>3</v>
      </c>
      <c r="F4" s="11" t="inlineStr">
        <is>
          <t>abidegrp.com</t>
        </is>
      </c>
      <c r="G4" s="11" t="inlineStr"/>
      <c r="H4" s="16" t="inlineStr">
        <is>
          <t>unavailable</t>
        </is>
      </c>
      <c r="I4" s="13" t="inlineStr">
        <is>
          <t>/in/patrickeharris</t>
        </is>
      </c>
      <c r="J4" s="11" t="inlineStr">
        <is>
          <t>New York New York</t>
        </is>
      </c>
      <c r="K4" s="11" t="inlineStr">
        <is>
          <t>+1 212-362-4598</t>
        </is>
      </c>
      <c r="L4" s="12" t="n">
        <v>2</v>
      </c>
      <c r="M4" s="11" t="inlineStr">
        <is>
          <t>57dbbfc8a6da9868dafa2010</t>
        </is>
      </c>
    </row>
    <row r="5">
      <c r="A5" s="11" t="inlineStr">
        <is>
          <t>Boutique compliance</t>
        </is>
      </c>
      <c r="B5" s="11" t="inlineStr">
        <is>
          <t>Pete Galloway</t>
        </is>
      </c>
      <c r="C5" s="11" t="inlineStr">
        <is>
          <t>Managing Partner</t>
        </is>
      </c>
      <c r="D5" s="11" t="inlineStr">
        <is>
          <t>Abide Consulting Group</t>
        </is>
      </c>
      <c r="E5" s="15" t="n">
        <v>3</v>
      </c>
      <c r="F5" s="11" t="inlineStr">
        <is>
          <t>abidegrp.com</t>
        </is>
      </c>
      <c r="G5" s="13" t="inlineStr">
        <is>
          <t>pete@abidegrp.com</t>
        </is>
      </c>
      <c r="H5" s="14" t="inlineStr">
        <is>
          <t>verified</t>
        </is>
      </c>
      <c r="I5" s="13" t="inlineStr">
        <is>
          <t>/in/petegalloway</t>
        </is>
      </c>
      <c r="J5" s="11" t="inlineStr">
        <is>
          <t>Denver Colorado</t>
        </is>
      </c>
      <c r="K5" s="11" t="inlineStr">
        <is>
          <t>+1 212-362-4598</t>
        </is>
      </c>
      <c r="L5" s="12" t="n">
        <v>1</v>
      </c>
      <c r="M5" s="11" t="inlineStr">
        <is>
          <t>54a48b1c7468692abf729a4f</t>
        </is>
      </c>
    </row>
    <row r="6">
      <c r="A6" s="11" t="inlineStr">
        <is>
          <t>Boutique compliance</t>
        </is>
      </c>
      <c r="B6" s="11" t="inlineStr">
        <is>
          <t>Robert Masi</t>
        </is>
      </c>
      <c r="C6" s="11" t="inlineStr">
        <is>
          <t>Managing Partner</t>
        </is>
      </c>
      <c r="D6" s="11" t="inlineStr">
        <is>
          <t>Accordo</t>
        </is>
      </c>
      <c r="E6" s="12" t="n">
        <v>1</v>
      </c>
      <c r="F6" s="11" t="inlineStr">
        <is>
          <t>accordo.solutions</t>
        </is>
      </c>
      <c r="G6" s="13" t="inlineStr">
        <is>
          <t>robert.masi@accordo.solutions</t>
        </is>
      </c>
      <c r="H6" s="14" t="inlineStr">
        <is>
          <t>verified</t>
        </is>
      </c>
      <c r="I6" s="13" t="inlineStr">
        <is>
          <t>/in/robert-masi-1a123b8</t>
        </is>
      </c>
      <c r="J6" s="11" t="inlineStr">
        <is>
          <t>New York New York</t>
        </is>
      </c>
      <c r="K6" s="11" t="inlineStr">
        <is>
          <t>+1 646-868-8150</t>
        </is>
      </c>
      <c r="L6" s="12" t="n">
        <v>2</v>
      </c>
      <c r="M6" s="11" t="inlineStr">
        <is>
          <t>66ed6833f501800001ee423f</t>
        </is>
      </c>
    </row>
    <row r="7">
      <c r="A7" s="11" t="inlineStr">
        <is>
          <t>Boutique compliance</t>
        </is>
      </c>
      <c r="B7" s="11" t="inlineStr">
        <is>
          <t>Giselle Casella</t>
        </is>
      </c>
      <c r="C7" s="11" t="inlineStr">
        <is>
          <t>Vice President and Partner</t>
        </is>
      </c>
      <c r="D7" s="11" t="inlineStr">
        <is>
          <t>Adviser Compliance Consulting</t>
        </is>
      </c>
      <c r="E7" s="15" t="n">
        <v>2</v>
      </c>
      <c r="F7" s="11" t="inlineStr">
        <is>
          <t>outsourcecco.com</t>
        </is>
      </c>
      <c r="G7" s="13" t="inlineStr">
        <is>
          <t>gcasella@outsourcecco.com</t>
        </is>
      </c>
      <c r="H7" s="14" t="inlineStr">
        <is>
          <t>verified</t>
        </is>
      </c>
      <c r="I7" s="13" t="inlineStr">
        <is>
          <t>/in/giselle-casella-62090310</t>
        </is>
      </c>
      <c r="J7" s="11" t="inlineStr">
        <is>
          <t>Naples Florida</t>
        </is>
      </c>
      <c r="K7" s="11" t="inlineStr">
        <is>
          <t>+1 650-703-2159</t>
        </is>
      </c>
      <c r="L7" s="12" t="n">
        <v>1</v>
      </c>
      <c r="M7" s="11" t="inlineStr">
        <is>
          <t>67000b23fd887b0001345983</t>
        </is>
      </c>
    </row>
    <row r="8">
      <c r="A8" s="11" t="inlineStr">
        <is>
          <t>Boutique compliance</t>
        </is>
      </c>
      <c r="B8" s="11" t="inlineStr">
        <is>
          <t>Stephen Lurie</t>
        </is>
      </c>
      <c r="C8" s="11" t="inlineStr">
        <is>
          <t>Principal Owner</t>
        </is>
      </c>
      <c r="D8" s="11" t="inlineStr">
        <is>
          <t>Adviser Compliance Consulting</t>
        </is>
      </c>
      <c r="E8" s="15" t="n">
        <v>2</v>
      </c>
      <c r="F8" s="11" t="inlineStr">
        <is>
          <t>outsourcecco.com</t>
        </is>
      </c>
      <c r="G8" s="11" t="inlineStr"/>
      <c r="H8" s="16" t="inlineStr">
        <is>
          <t>unavailable</t>
        </is>
      </c>
      <c r="I8" s="13" t="inlineStr">
        <is>
          <t>/in/stephen-lurie-8b0b371</t>
        </is>
      </c>
      <c r="J8" s="11" t="inlineStr">
        <is>
          <t>New York New York</t>
        </is>
      </c>
      <c r="K8" s="11" t="inlineStr">
        <is>
          <t>+1 650-703-2159</t>
        </is>
      </c>
      <c r="L8" s="12" t="n">
        <v>1</v>
      </c>
      <c r="M8" s="11" t="inlineStr">
        <is>
          <t>610a381ea614ea00018458e2</t>
        </is>
      </c>
    </row>
    <row r="9">
      <c r="A9" s="11" t="inlineStr">
        <is>
          <t>Boutique compliance</t>
        </is>
      </c>
      <c r="B9" s="11" t="inlineStr">
        <is>
          <t>Joseph Stowell</t>
        </is>
      </c>
      <c r="C9" s="11" t="inlineStr">
        <is>
          <t>Managing Partner, President</t>
        </is>
      </c>
      <c r="D9" s="11" t="inlineStr">
        <is>
          <t>Ally Compliance Partners LLC</t>
        </is>
      </c>
      <c r="E9" s="12" t="n">
        <v>1</v>
      </c>
      <c r="F9" s="11" t="inlineStr">
        <is>
          <t>allycompliancepartners.com</t>
        </is>
      </c>
      <c r="G9" s="13" t="inlineStr">
        <is>
          <t>joe@allycompliancepartners.com</t>
        </is>
      </c>
      <c r="H9" s="14" t="inlineStr">
        <is>
          <t>verified</t>
        </is>
      </c>
      <c r="I9" s="13" t="inlineStr">
        <is>
          <t>/in/josephstowell</t>
        </is>
      </c>
      <c r="J9" s="11" t="inlineStr">
        <is>
          <t>Londonderry New Hampshire</t>
        </is>
      </c>
      <c r="K9" s="11" t="inlineStr">
        <is>
          <t>+1 617-304-0117</t>
        </is>
      </c>
      <c r="L9" s="12" t="n">
        <v>1</v>
      </c>
      <c r="M9" s="11" t="inlineStr">
        <is>
          <t>5b89436c324d443417b428b7</t>
        </is>
      </c>
    </row>
    <row r="10">
      <c r="A10" s="11" t="inlineStr">
        <is>
          <t>Boutique compliance</t>
        </is>
      </c>
      <c r="B10" s="11" t="inlineStr">
        <is>
          <t>Chris Hardy</t>
        </is>
      </c>
      <c r="C10" s="11" t="inlineStr">
        <is>
          <t>Co-Founder</t>
        </is>
      </c>
      <c r="D10" s="11" t="inlineStr">
        <is>
          <t>altPILOT Group</t>
        </is>
      </c>
      <c r="E10" s="15" t="n">
        <v>2</v>
      </c>
      <c r="F10" s="11" t="inlineStr">
        <is>
          <t>altpilotgroup.com</t>
        </is>
      </c>
      <c r="G10" s="13" t="inlineStr">
        <is>
          <t>chris@altpilotgroup.com</t>
        </is>
      </c>
      <c r="H10" s="14" t="inlineStr">
        <is>
          <t>verified</t>
        </is>
      </c>
      <c r="I10" s="13" t="inlineStr">
        <is>
          <t>/in/chrishardy2</t>
        </is>
      </c>
      <c r="J10" s="11" t="inlineStr">
        <is>
          <t>New York New York</t>
        </is>
      </c>
      <c r="K10" s="11" t="inlineStr">
        <is>
          <t>+1 786-473-8090</t>
        </is>
      </c>
      <c r="L10" s="12" t="n">
        <v>2</v>
      </c>
      <c r="M10" s="11" t="inlineStr">
        <is>
          <t>59399c00a6da9817851bc60b</t>
        </is>
      </c>
    </row>
    <row r="11">
      <c r="A11" s="11" t="inlineStr">
        <is>
          <t>Boutique compliance</t>
        </is>
      </c>
      <c r="B11" s="11" t="inlineStr">
        <is>
          <t>Korrine Kohm</t>
        </is>
      </c>
      <c r="C11" s="11" t="inlineStr">
        <is>
          <t>Managing Director</t>
        </is>
      </c>
      <c r="D11" s="11" t="inlineStr">
        <is>
          <t>altPILOT Group</t>
        </is>
      </c>
      <c r="E11" s="15" t="n">
        <v>2</v>
      </c>
      <c r="F11" s="11" t="inlineStr">
        <is>
          <t>altpilotgroup.com</t>
        </is>
      </c>
      <c r="G11" s="13" t="inlineStr">
        <is>
          <t>korrine@altpilotgroup.com</t>
        </is>
      </c>
      <c r="H11" s="14" t="inlineStr">
        <is>
          <t>verified</t>
        </is>
      </c>
      <c r="I11" s="13" t="inlineStr">
        <is>
          <t>/in/korrine-kohm-816417a</t>
        </is>
      </c>
      <c r="J11" s="11" t="inlineStr">
        <is>
          <t>New York New York</t>
        </is>
      </c>
      <c r="K11" s="11" t="inlineStr">
        <is>
          <t>+1 786-473-8090</t>
        </is>
      </c>
      <c r="L11" s="12" t="n">
        <v>2</v>
      </c>
      <c r="M11" s="11" t="inlineStr">
        <is>
          <t>60388f2cec817900010fb78d</t>
        </is>
      </c>
    </row>
    <row r="12">
      <c r="A12" s="11" t="inlineStr">
        <is>
          <t>Boutique compliance</t>
        </is>
      </c>
      <c r="B12" s="11" t="inlineStr">
        <is>
          <t>Eden Turner</t>
        </is>
      </c>
      <c r="C12" s="11" t="inlineStr">
        <is>
          <t>Managing Director, Compliance and Risk Management</t>
        </is>
      </c>
      <c r="D12" s="11" t="inlineStr">
        <is>
          <t>Asgard Regulatory Group, LLC</t>
        </is>
      </c>
      <c r="E12" s="15" t="n">
        <v>3</v>
      </c>
      <c r="F12" s="11" t="inlineStr">
        <is>
          <t>asgardcompliance.com</t>
        </is>
      </c>
      <c r="G12" s="13" t="inlineStr">
        <is>
          <t>eturner@asgardcompliance.com</t>
        </is>
      </c>
      <c r="H12" s="14" t="inlineStr">
        <is>
          <t>verified</t>
        </is>
      </c>
      <c r="I12" s="13" t="inlineStr">
        <is>
          <t>/in/eden-turner-9b08a487</t>
        </is>
      </c>
      <c r="J12" s="11" t="inlineStr">
        <is>
          <t>Oakdale New York</t>
        </is>
      </c>
      <c r="K12" s="11" t="inlineStr">
        <is>
          <t>+1 631-801-2900</t>
        </is>
      </c>
      <c r="L12" s="12" t="n">
        <v>2</v>
      </c>
      <c r="M12" s="11" t="inlineStr">
        <is>
          <t>54a206837468693cdd834906</t>
        </is>
      </c>
    </row>
    <row r="13">
      <c r="A13" s="11" t="inlineStr">
        <is>
          <t>Boutique compliance</t>
        </is>
      </c>
      <c r="B13" s="11" t="inlineStr">
        <is>
          <t>Jon Hurd</t>
        </is>
      </c>
      <c r="C13" s="11" t="inlineStr">
        <is>
          <t>Founder, Chief Executive Officer and Certified Anti-Money Laundering Specialist</t>
        </is>
      </c>
      <c r="D13" s="11" t="inlineStr">
        <is>
          <t>Asgard Regulatory Group, LLC</t>
        </is>
      </c>
      <c r="E13" s="15" t="n">
        <v>3</v>
      </c>
      <c r="F13" s="11" t="inlineStr">
        <is>
          <t>asgardcompliance.com</t>
        </is>
      </c>
      <c r="G13" s="13" t="inlineStr">
        <is>
          <t>jhurd@asgardcompliance.com</t>
        </is>
      </c>
      <c r="H13" s="14" t="inlineStr">
        <is>
          <t>verified</t>
        </is>
      </c>
      <c r="I13" s="13" t="inlineStr">
        <is>
          <t>/in/jonhurdarg</t>
        </is>
      </c>
      <c r="J13" s="11" t="inlineStr">
        <is>
          <t>Holbrook New York</t>
        </is>
      </c>
      <c r="K13" s="11" t="inlineStr">
        <is>
          <t>+1 631-801-2900</t>
        </is>
      </c>
      <c r="L13" s="12" t="n">
        <v>2</v>
      </c>
      <c r="M13" s="11" t="inlineStr">
        <is>
          <t>66fe0e657932dd0001e89c77</t>
        </is>
      </c>
    </row>
    <row r="14">
      <c r="A14" s="11" t="inlineStr">
        <is>
          <t>Boutique compliance</t>
        </is>
      </c>
      <c r="B14" s="11" t="inlineStr">
        <is>
          <t>Patrick Kane</t>
        </is>
      </c>
      <c r="C14" s="11" t="inlineStr">
        <is>
          <t>Managing Director</t>
        </is>
      </c>
      <c r="D14" s="11" t="inlineStr">
        <is>
          <t>Asgard Regulatory Group, LLC</t>
        </is>
      </c>
      <c r="E14" s="15" t="n">
        <v>3</v>
      </c>
      <c r="F14" s="11" t="inlineStr">
        <is>
          <t>asgardcompliance.com</t>
        </is>
      </c>
      <c r="G14" s="13" t="inlineStr">
        <is>
          <t>pkane@asgardcompliance.com</t>
        </is>
      </c>
      <c r="H14" s="14" t="inlineStr">
        <is>
          <t>verified</t>
        </is>
      </c>
      <c r="I14" s="13" t="inlineStr">
        <is>
          <t>/in/patrick-kane-7010855</t>
        </is>
      </c>
      <c r="J14" s="11" t="inlineStr">
        <is>
          <t>New York New York</t>
        </is>
      </c>
      <c r="K14" s="11" t="inlineStr">
        <is>
          <t>+1 631-801-2900</t>
        </is>
      </c>
      <c r="L14" s="12" t="n">
        <v>2</v>
      </c>
      <c r="M14" s="11" t="inlineStr">
        <is>
          <t>5acf19dfa6da98d0d0b444d4</t>
        </is>
      </c>
    </row>
    <row r="15">
      <c r="A15" s="11" t="inlineStr">
        <is>
          <t>Boutique compliance</t>
        </is>
      </c>
      <c r="B15" s="11" t="inlineStr">
        <is>
          <t>Jordan Jasser</t>
        </is>
      </c>
      <c r="C15" s="11" t="inlineStr">
        <is>
          <t>Partner, President</t>
        </is>
      </c>
      <c r="D15" s="11" t="inlineStr">
        <is>
          <t>Aspect Advisors</t>
        </is>
      </c>
      <c r="E15" s="15" t="n">
        <v>6</v>
      </c>
      <c r="F15" s="11" t="inlineStr">
        <is>
          <t>aspectadv.com</t>
        </is>
      </c>
      <c r="G15" s="13" t="inlineStr">
        <is>
          <t>jordan@aspectadv.com</t>
        </is>
      </c>
      <c r="H15" s="14" t="inlineStr">
        <is>
          <t>verified</t>
        </is>
      </c>
      <c r="I15" s="13" t="inlineStr">
        <is>
          <t>/in/jordan-jasser-0346b070</t>
        </is>
      </c>
      <c r="J15" s="11" t="inlineStr">
        <is>
          <t>New York New York</t>
        </is>
      </c>
      <c r="K15" s="11" t="inlineStr">
        <is>
          <t>+1 415-423-3445</t>
        </is>
      </c>
      <c r="L15" s="12" t="n">
        <v>2</v>
      </c>
      <c r="M15" s="11" t="inlineStr">
        <is>
          <t>66f6f0e857022d000128cff6</t>
        </is>
      </c>
    </row>
    <row r="16">
      <c r="A16" s="11" t="inlineStr">
        <is>
          <t>Boutique compliance</t>
        </is>
      </c>
      <c r="B16" s="11" t="inlineStr">
        <is>
          <t>Justin Schleifer</t>
        </is>
      </c>
      <c r="C16" s="11" t="inlineStr">
        <is>
          <t>President, Co-Founder</t>
        </is>
      </c>
      <c r="D16" s="11" t="inlineStr">
        <is>
          <t>Aspect Advisors</t>
        </is>
      </c>
      <c r="E16" s="15" t="n">
        <v>6</v>
      </c>
      <c r="F16" s="11" t="inlineStr">
        <is>
          <t>aspectadv.com</t>
        </is>
      </c>
      <c r="G16" s="13" t="inlineStr">
        <is>
          <t>justin@aspectadv.com</t>
        </is>
      </c>
      <c r="H16" s="14" t="inlineStr">
        <is>
          <t>verified</t>
        </is>
      </c>
      <c r="I16" s="13" t="inlineStr">
        <is>
          <t>/in/justin-schleifer-28852036</t>
        </is>
      </c>
      <c r="J16" s="11" t="inlineStr">
        <is>
          <t>New York New York</t>
        </is>
      </c>
      <c r="K16" s="11" t="inlineStr">
        <is>
          <t>+1 415-423-3445</t>
        </is>
      </c>
      <c r="L16" s="12" t="n">
        <v>2</v>
      </c>
      <c r="M16" s="11" t="inlineStr">
        <is>
          <t>66fb2df8518a660001e69ef0</t>
        </is>
      </c>
    </row>
    <row r="17">
      <c r="A17" s="11" t="inlineStr">
        <is>
          <t>Boutique compliance</t>
        </is>
      </c>
      <c r="B17" s="11" t="inlineStr">
        <is>
          <t>Chris Nowak</t>
        </is>
      </c>
      <c r="C17" s="11" t="inlineStr">
        <is>
          <t>Founder &amp; CEO</t>
        </is>
      </c>
      <c r="D17" s="11" t="inlineStr">
        <is>
          <t>Augmenta Prime</t>
        </is>
      </c>
      <c r="E17" s="12" t="n">
        <v>1</v>
      </c>
      <c r="F17" s="11" t="inlineStr">
        <is>
          <t>augmentaprimegroup.com</t>
        </is>
      </c>
      <c r="G17" s="13" t="inlineStr">
        <is>
          <t>chris.nowak@augmentaprimegroup.com</t>
        </is>
      </c>
      <c r="H17" s="14" t="inlineStr">
        <is>
          <t>verified</t>
        </is>
      </c>
      <c r="I17" s="13" t="inlineStr">
        <is>
          <t>/in/chris-nowak-cams-cafp-cbp</t>
        </is>
      </c>
      <c r="J17" s="11" t="inlineStr">
        <is>
          <t>New York</t>
        </is>
      </c>
      <c r="K17" s="11" t="inlineStr"/>
      <c r="L17" s="12" t="n">
        <v>2</v>
      </c>
      <c r="M17" s="11" t="inlineStr">
        <is>
          <t>67183a61bd462b0001c870b7</t>
        </is>
      </c>
    </row>
    <row r="18">
      <c r="A18" s="11" t="inlineStr">
        <is>
          <t>Boutique compliance</t>
        </is>
      </c>
      <c r="B18" s="11" t="inlineStr">
        <is>
          <t>Colleen Kelly</t>
        </is>
      </c>
      <c r="C18" s="11" t="inlineStr">
        <is>
          <t>Managing Director</t>
        </is>
      </c>
      <c r="D18" s="11" t="inlineStr">
        <is>
          <t>Chenery Compliance Group</t>
        </is>
      </c>
      <c r="E18" s="15" t="n">
        <v>4</v>
      </c>
      <c r="F18" s="11" t="inlineStr">
        <is>
          <t>chenerycompliance.com</t>
        </is>
      </c>
      <c r="G18" s="13" t="inlineStr">
        <is>
          <t>ckelly@chenerycompliance.com</t>
        </is>
      </c>
      <c r="H18" s="14" t="inlineStr">
        <is>
          <t>verified</t>
        </is>
      </c>
      <c r="I18" s="13" t="inlineStr">
        <is>
          <t>/in/colleen-kelly-aif%c2%ae-b2088523</t>
        </is>
      </c>
      <c r="J18" s="11" t="inlineStr">
        <is>
          <t>Ashburn Virginia</t>
        </is>
      </c>
      <c r="K18" s="11" t="inlineStr">
        <is>
          <t>+1 484-464-0300</t>
        </is>
      </c>
      <c r="L18" s="12" t="n">
        <v>1</v>
      </c>
      <c r="M18" s="11" t="inlineStr">
        <is>
          <t>60afd5041203cc00014edd51</t>
        </is>
      </c>
    </row>
    <row r="19">
      <c r="A19" s="11" t="inlineStr">
        <is>
          <t>Boutique compliance</t>
        </is>
      </c>
      <c r="B19" s="11" t="inlineStr">
        <is>
          <t>Craig Moreshead</t>
        </is>
      </c>
      <c r="C19" s="11" t="inlineStr">
        <is>
          <t>Managing Director</t>
        </is>
      </c>
      <c r="D19" s="11" t="inlineStr">
        <is>
          <t>Chenery Compliance Group</t>
        </is>
      </c>
      <c r="E19" s="15" t="n">
        <v>4</v>
      </c>
      <c r="F19" s="11" t="inlineStr">
        <is>
          <t>chenerycompliance.com</t>
        </is>
      </c>
      <c r="G19" s="13" t="inlineStr">
        <is>
          <t>cmoreshead@chenerycompliance.com</t>
        </is>
      </c>
      <c r="H19" s="14" t="inlineStr">
        <is>
          <t>verified</t>
        </is>
      </c>
      <c r="I19" s="13" t="inlineStr">
        <is>
          <t>/in/craigmoreshead</t>
        </is>
      </c>
      <c r="J19" s="11" t="inlineStr">
        <is>
          <t>West Palm Beach Florida</t>
        </is>
      </c>
      <c r="K19" s="11" t="inlineStr">
        <is>
          <t>+1 484-464-0300</t>
        </is>
      </c>
      <c r="L19" s="12" t="n">
        <v>1</v>
      </c>
      <c r="M19" s="11" t="inlineStr">
        <is>
          <t>54aab3aa7468690630efff13</t>
        </is>
      </c>
    </row>
    <row r="20">
      <c r="A20" s="11" t="inlineStr">
        <is>
          <t>Boutique compliance</t>
        </is>
      </c>
      <c r="B20" s="11" t="inlineStr">
        <is>
          <t>Stefanie Little</t>
        </is>
      </c>
      <c r="C20" s="11" t="inlineStr">
        <is>
          <t>Founder &amp; Managing Partner</t>
        </is>
      </c>
      <c r="D20" s="11" t="inlineStr">
        <is>
          <t>Chenery Compliance Group</t>
        </is>
      </c>
      <c r="E20" s="15" t="n">
        <v>4</v>
      </c>
      <c r="F20" s="11" t="inlineStr">
        <is>
          <t>chenerycompliance.com</t>
        </is>
      </c>
      <c r="G20" s="13" t="inlineStr">
        <is>
          <t>slittle@chenerycompliance.com</t>
        </is>
      </c>
      <c r="H20" s="14" t="inlineStr">
        <is>
          <t>verified</t>
        </is>
      </c>
      <c r="I20" s="13" t="inlineStr">
        <is>
          <t>/in/stefanie-j-little-b155075</t>
        </is>
      </c>
      <c r="J20" s="11" t="inlineStr">
        <is>
          <t>Elkton Maryland</t>
        </is>
      </c>
      <c r="K20" s="11" t="inlineStr">
        <is>
          <t>+1 484-464-0300</t>
        </is>
      </c>
      <c r="L20" s="12" t="n">
        <v>1</v>
      </c>
      <c r="M20" s="11" t="inlineStr">
        <is>
          <t>66fc1f0a3b5eed0001a5e371</t>
        </is>
      </c>
    </row>
    <row r="21">
      <c r="A21" s="11" t="inlineStr">
        <is>
          <t>Boutique compliance</t>
        </is>
      </c>
      <c r="B21" s="11" t="inlineStr">
        <is>
          <t>Thomas Cain</t>
        </is>
      </c>
      <c r="C21" s="11" t="inlineStr">
        <is>
          <t>Founder &amp; Managing Partner</t>
        </is>
      </c>
      <c r="D21" s="11" t="inlineStr">
        <is>
          <t>Chenery Compliance Group</t>
        </is>
      </c>
      <c r="E21" s="15" t="n">
        <v>4</v>
      </c>
      <c r="F21" s="11" t="inlineStr">
        <is>
          <t>chenerycompliance.com</t>
        </is>
      </c>
      <c r="G21" s="13" t="inlineStr">
        <is>
          <t>tdecain@chenerygroup.com</t>
        </is>
      </c>
      <c r="H21" s="14" t="inlineStr">
        <is>
          <t>verified</t>
        </is>
      </c>
      <c r="I21" s="13" t="inlineStr">
        <is>
          <t>/in/tdecain</t>
        </is>
      </c>
      <c r="J21" s="11" t="inlineStr">
        <is>
          <t>New York New York</t>
        </is>
      </c>
      <c r="K21" s="11" t="inlineStr">
        <is>
          <t>+1 484-464-0300</t>
        </is>
      </c>
      <c r="L21" s="12" t="n">
        <v>2</v>
      </c>
      <c r="M21" s="11" t="inlineStr">
        <is>
          <t>66f68f29e2b6530001c3b866</t>
        </is>
      </c>
    </row>
    <row r="22">
      <c r="A22" s="11" t="inlineStr">
        <is>
          <t>Boutique compliance</t>
        </is>
      </c>
      <c r="B22" s="11" t="inlineStr">
        <is>
          <t>Claire McCleskey</t>
        </is>
      </c>
      <c r="C22" s="11" t="inlineStr">
        <is>
          <t>Co-Founder</t>
        </is>
      </c>
      <c r="D22" s="11" t="inlineStr">
        <is>
          <t>Clarity Compliance Consulting</t>
        </is>
      </c>
      <c r="E22" s="12" t="n">
        <v>1</v>
      </c>
      <c r="F22" s="11" t="inlineStr">
        <is>
          <t>clarity-consultancy.com</t>
        </is>
      </c>
      <c r="G22" s="13" t="inlineStr">
        <is>
          <t>com@clarity-consultancy.com</t>
        </is>
      </c>
      <c r="H22" s="14" t="inlineStr">
        <is>
          <t>verified</t>
        </is>
      </c>
      <c r="I22" s="13" t="inlineStr">
        <is>
          <t>/in/claire-o-neill-mccleskey</t>
        </is>
      </c>
      <c r="J22" s="11" t="inlineStr">
        <is>
          <t>New York New York</t>
        </is>
      </c>
      <c r="K22" s="11" t="inlineStr"/>
      <c r="L22" s="12" t="n">
        <v>2</v>
      </c>
      <c r="M22" s="11" t="inlineStr">
        <is>
          <t>611a8d85b40c3e0001a54a09</t>
        </is>
      </c>
    </row>
    <row r="23">
      <c r="A23" s="11" t="inlineStr">
        <is>
          <t>Boutique compliance</t>
        </is>
      </c>
      <c r="B23" s="11" t="inlineStr">
        <is>
          <t>David Martin</t>
        </is>
      </c>
      <c r="C23" s="11" t="inlineStr">
        <is>
          <t>Founder/CEO</t>
        </is>
      </c>
      <c r="D23" s="11" t="inlineStr">
        <is>
          <t>Compliers Consulting Services, LLC</t>
        </is>
      </c>
      <c r="E23" s="15" t="n">
        <v>2</v>
      </c>
      <c r="F23" s="11" t="inlineStr">
        <is>
          <t>compliers.com</t>
        </is>
      </c>
      <c r="G23" s="13" t="inlineStr">
        <is>
          <t>david@compliers.com</t>
        </is>
      </c>
      <c r="H23" s="14" t="inlineStr">
        <is>
          <t>verified</t>
        </is>
      </c>
      <c r="I23" s="13" t="inlineStr">
        <is>
          <t>/in/davidjaindlmartin</t>
        </is>
      </c>
      <c r="J23" s="11" t="inlineStr">
        <is>
          <t>New York New York</t>
        </is>
      </c>
      <c r="K23" s="11" t="inlineStr">
        <is>
          <t>+1 917-345-2461</t>
        </is>
      </c>
      <c r="L23" s="12" t="n">
        <v>2</v>
      </c>
      <c r="M23" s="11" t="inlineStr">
        <is>
          <t>60cf4bb6becbc70001bd6490</t>
        </is>
      </c>
    </row>
    <row r="24">
      <c r="A24" s="11" t="inlineStr">
        <is>
          <t>Boutique compliance</t>
        </is>
      </c>
      <c r="B24" s="11" t="inlineStr">
        <is>
          <t>Michelle Jacko</t>
        </is>
      </c>
      <c r="C24" s="11" t="inlineStr">
        <is>
          <t>CEO</t>
        </is>
      </c>
      <c r="D24" s="11" t="inlineStr">
        <is>
          <t>Core Compliance &amp; Legal Services, Inc.</t>
        </is>
      </c>
      <c r="E24" s="12" t="n">
        <v>1</v>
      </c>
      <c r="F24" s="11" t="inlineStr">
        <is>
          <t>corecls.com</t>
        </is>
      </c>
      <c r="G24" s="13" t="inlineStr">
        <is>
          <t>michelle.jacko@corecls.com</t>
        </is>
      </c>
      <c r="H24" s="14" t="inlineStr">
        <is>
          <t>verified</t>
        </is>
      </c>
      <c r="I24" s="13" t="inlineStr">
        <is>
          <t>/in/michellejacko</t>
        </is>
      </c>
      <c r="J24" s="11" t="inlineStr">
        <is>
          <t>San Diego California</t>
        </is>
      </c>
      <c r="K24" s="11" t="inlineStr">
        <is>
          <t>+1 619-278-0020</t>
        </is>
      </c>
      <c r="L24" s="12" t="n">
        <v>1</v>
      </c>
      <c r="M24" s="11" t="inlineStr">
        <is>
          <t>68cf57da40b35e00013a604e</t>
        </is>
      </c>
    </row>
    <row r="25">
      <c r="A25" s="11" t="inlineStr">
        <is>
          <t>Boutique compliance</t>
        </is>
      </c>
      <c r="B25" s="11" t="inlineStr">
        <is>
          <t>Gary Fox</t>
        </is>
      </c>
      <c r="C25" s="11" t="inlineStr">
        <is>
          <t>Managing Director and Partner</t>
        </is>
      </c>
      <c r="D25" s="11" t="inlineStr">
        <is>
          <t>DFP Partners</t>
        </is>
      </c>
      <c r="E25" s="15" t="n">
        <v>2</v>
      </c>
      <c r="F25" s="11" t="inlineStr">
        <is>
          <t>dfppartners.com</t>
        </is>
      </c>
      <c r="G25" s="13" t="inlineStr">
        <is>
          <t>gfox@dfppartners.com</t>
        </is>
      </c>
      <c r="H25" s="14" t="inlineStr">
        <is>
          <t>verified</t>
        </is>
      </c>
      <c r="I25" s="13" t="inlineStr">
        <is>
          <t>/in/garyfox8</t>
        </is>
      </c>
      <c r="J25" s="11" t="inlineStr">
        <is>
          <t>New York New York</t>
        </is>
      </c>
      <c r="K25" s="11" t="inlineStr">
        <is>
          <t>+1 212-751-4422</t>
        </is>
      </c>
      <c r="L25" s="12" t="n">
        <v>2</v>
      </c>
      <c r="M25" s="11" t="inlineStr">
        <is>
          <t>5fa2428f3770bf0001a19d82</t>
        </is>
      </c>
    </row>
    <row r="26">
      <c r="A26" s="11" t="inlineStr">
        <is>
          <t>Boutique compliance</t>
        </is>
      </c>
      <c r="B26" s="11" t="inlineStr">
        <is>
          <t>Michael Glynn</t>
        </is>
      </c>
      <c r="C26" s="11" t="inlineStr">
        <is>
          <t>Principal</t>
        </is>
      </c>
      <c r="D26" s="11" t="inlineStr">
        <is>
          <t>DFP Partners</t>
        </is>
      </c>
      <c r="E26" s="15" t="n">
        <v>2</v>
      </c>
      <c r="F26" s="11" t="inlineStr">
        <is>
          <t>dfppartners.com</t>
        </is>
      </c>
      <c r="G26" s="13" t="inlineStr">
        <is>
          <t>mglynn@sddco.com</t>
        </is>
      </c>
      <c r="H26" s="14" t="inlineStr">
        <is>
          <t>verified</t>
        </is>
      </c>
      <c r="I26" s="13" t="inlineStr">
        <is>
          <t>/in/michael-glynn-6453575</t>
        </is>
      </c>
      <c r="J26" s="11" t="inlineStr">
        <is>
          <t>New York New York</t>
        </is>
      </c>
      <c r="K26" s="11" t="inlineStr">
        <is>
          <t>+1 212-751-4422</t>
        </is>
      </c>
      <c r="L26" s="12" t="n">
        <v>2</v>
      </c>
      <c r="M26" s="11" t="inlineStr">
        <is>
          <t>5ac982f7a6da9840f6312264</t>
        </is>
      </c>
    </row>
    <row r="27">
      <c r="A27" s="11" t="inlineStr">
        <is>
          <t>Boutique compliance</t>
        </is>
      </c>
      <c r="B27" s="11" t="inlineStr">
        <is>
          <t>Daniel Garcia</t>
        </is>
      </c>
      <c r="C27" s="11" t="inlineStr">
        <is>
          <t>Principal Compliance Officer at InnReg</t>
        </is>
      </c>
      <c r="D27" s="11" t="inlineStr">
        <is>
          <t>InnReg</t>
        </is>
      </c>
      <c r="E27" s="15" t="n">
        <v>2</v>
      </c>
      <c r="F27" s="11" t="inlineStr">
        <is>
          <t>innreg.com</t>
        </is>
      </c>
      <c r="G27" s="13" t="inlineStr">
        <is>
          <t>daniel@innreg.com</t>
        </is>
      </c>
      <c r="H27" s="14" t="inlineStr">
        <is>
          <t>verified</t>
        </is>
      </c>
      <c r="I27" s="13" t="inlineStr">
        <is>
          <t>/in/daniel-garcia-b67a1723</t>
        </is>
      </c>
      <c r="J27" s="11" t="inlineStr">
        <is>
          <t>Fort Lauderdale Florida</t>
        </is>
      </c>
      <c r="K27" s="11" t="inlineStr">
        <is>
          <t>+1 305-908-1160</t>
        </is>
      </c>
      <c r="L27" s="12" t="n">
        <v>2</v>
      </c>
      <c r="M27" s="11" t="inlineStr">
        <is>
          <t>5e7c809a64ba4100017cdb37</t>
        </is>
      </c>
    </row>
    <row r="28">
      <c r="A28" s="11" t="inlineStr">
        <is>
          <t>Boutique compliance</t>
        </is>
      </c>
      <c r="B28" s="11" t="inlineStr">
        <is>
          <t>Francesco Matteini</t>
        </is>
      </c>
      <c r="C28" s="11" t="inlineStr">
        <is>
          <t>CEO and Founder</t>
        </is>
      </c>
      <c r="D28" s="11" t="inlineStr">
        <is>
          <t>InnReg</t>
        </is>
      </c>
      <c r="E28" s="15" t="n">
        <v>2</v>
      </c>
      <c r="F28" s="11" t="inlineStr">
        <is>
          <t>innreg.com</t>
        </is>
      </c>
      <c r="G28" s="13" t="inlineStr">
        <is>
          <t>francesco@innreg.com</t>
        </is>
      </c>
      <c r="H28" s="14" t="inlineStr">
        <is>
          <t>verified</t>
        </is>
      </c>
      <c r="I28" s="13" t="inlineStr">
        <is>
          <t>/in/fmatteini</t>
        </is>
      </c>
      <c r="J28" s="11" t="inlineStr">
        <is>
          <t>Miami Florida</t>
        </is>
      </c>
      <c r="K28" s="11" t="inlineStr">
        <is>
          <t>+1 305-908-1160</t>
        </is>
      </c>
      <c r="L28" s="12" t="n">
        <v>2</v>
      </c>
      <c r="M28" s="11" t="inlineStr">
        <is>
          <t>66f438a547af530001b9576b</t>
        </is>
      </c>
    </row>
    <row r="29">
      <c r="A29" s="11" t="inlineStr">
        <is>
          <t>Boutique compliance</t>
        </is>
      </c>
      <c r="B29" s="11" t="inlineStr">
        <is>
          <t>Stephen Murphy</t>
        </is>
      </c>
      <c r="C29" s="11" t="inlineStr">
        <is>
          <t>Managing Director</t>
        </is>
      </c>
      <c r="D29" s="11" t="inlineStr">
        <is>
          <t>Integrated Compliance Consulting</t>
        </is>
      </c>
      <c r="E29" s="15" t="n">
        <v>2</v>
      </c>
      <c r="F29" s="11" t="inlineStr">
        <is>
          <t>integratedcomplianceconsulting.com</t>
        </is>
      </c>
      <c r="G29" s="13" t="inlineStr">
        <is>
          <t>smurphy@icc-comply.com</t>
        </is>
      </c>
      <c r="H29" s="14" t="inlineStr">
        <is>
          <t>verified</t>
        </is>
      </c>
      <c r="I29" s="13" t="inlineStr">
        <is>
          <t>/in/stephen-murphy-cfa-9903874</t>
        </is>
      </c>
      <c r="J29" s="11" t="inlineStr"/>
      <c r="K29" s="11" t="inlineStr"/>
      <c r="L29" s="12" t="n">
        <v>1</v>
      </c>
      <c r="M29" s="11" t="inlineStr">
        <is>
          <t>5fd08a11d173d6000193434a</t>
        </is>
      </c>
    </row>
    <row r="30">
      <c r="A30" s="11" t="inlineStr">
        <is>
          <t>Boutique compliance</t>
        </is>
      </c>
      <c r="B30" s="11" t="inlineStr">
        <is>
          <t>Trish Davis</t>
        </is>
      </c>
      <c r="C30" s="11" t="inlineStr">
        <is>
          <t>Managing Director</t>
        </is>
      </c>
      <c r="D30" s="11" t="inlineStr">
        <is>
          <t>Integrated Compliance Consulting</t>
        </is>
      </c>
      <c r="E30" s="15" t="n">
        <v>2</v>
      </c>
      <c r="F30" s="11" t="inlineStr">
        <is>
          <t>integratedcomplianceconsulting.com</t>
        </is>
      </c>
      <c r="G30" s="13" t="inlineStr">
        <is>
          <t>tdavis@integratedcomplianceconsulting.com</t>
        </is>
      </c>
      <c r="H30" s="14" t="inlineStr">
        <is>
          <t>verified</t>
        </is>
      </c>
      <c r="I30" s="13" t="inlineStr">
        <is>
          <t>/in/trish-davis-4a1668298</t>
        </is>
      </c>
      <c r="J30" s="11" t="inlineStr">
        <is>
          <t>Maize Kansas</t>
        </is>
      </c>
      <c r="K30" s="11" t="inlineStr"/>
      <c r="L30" s="12" t="n">
        <v>1</v>
      </c>
      <c r="M30" s="11" t="inlineStr">
        <is>
          <t>668cea1a7921f3000181c0e6</t>
        </is>
      </c>
    </row>
    <row r="31">
      <c r="A31" s="11" t="inlineStr">
        <is>
          <t>Boutique compliance</t>
        </is>
      </c>
      <c r="B31" s="11" t="inlineStr">
        <is>
          <t>Jennifer Mascioli-Tudor</t>
        </is>
      </c>
      <c r="C31" s="11" t="inlineStr">
        <is>
          <t>Founder and Principal Consultant</t>
        </is>
      </c>
      <c r="D31" s="11" t="inlineStr">
        <is>
          <t>JMT Compliance Consulting</t>
        </is>
      </c>
      <c r="E31" s="12" t="n">
        <v>1</v>
      </c>
      <c r="F31" s="11" t="inlineStr">
        <is>
          <t>jmtcompliance.com</t>
        </is>
      </c>
      <c r="G31" s="13" t="inlineStr">
        <is>
          <t>jennifer@jmtcompliance.com</t>
        </is>
      </c>
      <c r="H31" s="14" t="inlineStr">
        <is>
          <t>verified</t>
        </is>
      </c>
      <c r="I31" s="13" t="inlineStr">
        <is>
          <t>/in/jennifermascioli</t>
        </is>
      </c>
      <c r="J31" s="11" t="inlineStr">
        <is>
          <t>San Francisco California</t>
        </is>
      </c>
      <c r="K31" s="11" t="inlineStr"/>
      <c r="L31" s="12" t="n">
        <v>1</v>
      </c>
      <c r="M31" s="11" t="inlineStr">
        <is>
          <t>66f11ab66453d300019f27a1</t>
        </is>
      </c>
    </row>
    <row r="32">
      <c r="A32" s="11" t="inlineStr">
        <is>
          <t>Boutique compliance</t>
        </is>
      </c>
      <c r="B32" s="11" t="inlineStr">
        <is>
          <t>Matthew Swendiman</t>
        </is>
      </c>
      <c r="C32" s="11" t="inlineStr">
        <is>
          <t>President and Chief Executive Officer</t>
        </is>
      </c>
      <c r="D32" s="11" t="inlineStr">
        <is>
          <t>Key Bridge Compliance</t>
        </is>
      </c>
      <c r="E32" s="12" t="n">
        <v>1</v>
      </c>
      <c r="F32" s="11" t="inlineStr">
        <is>
          <t>keybridgecompliance.com</t>
        </is>
      </c>
      <c r="G32" s="13" t="inlineStr">
        <is>
          <t>mswendiman@keybridgecompliance.com</t>
        </is>
      </c>
      <c r="H32" s="14" t="inlineStr">
        <is>
          <t>verified</t>
        </is>
      </c>
      <c r="I32" s="13" t="inlineStr">
        <is>
          <t>/in/matthewswendiman</t>
        </is>
      </c>
      <c r="J32" s="11" t="inlineStr">
        <is>
          <t>Cincinnati Ohio</t>
        </is>
      </c>
      <c r="K32" s="11" t="inlineStr">
        <is>
          <t>+1 859-308-3246</t>
        </is>
      </c>
      <c r="L32" s="12" t="n">
        <v>1</v>
      </c>
      <c r="M32" s="11" t="inlineStr">
        <is>
          <t>66fd80a967622700018dd038</t>
        </is>
      </c>
    </row>
    <row r="33">
      <c r="A33" s="11" t="inlineStr">
        <is>
          <t>Boutique compliance</t>
        </is>
      </c>
      <c r="B33" s="11" t="inlineStr">
        <is>
          <t>Luisa Franco</t>
        </is>
      </c>
      <c r="C33" s="11" t="inlineStr">
        <is>
          <t>CEO &amp; Founder</t>
        </is>
      </c>
      <c r="D33" s="11" t="inlineStr">
        <is>
          <t>LFP Risk Solutions</t>
        </is>
      </c>
      <c r="E33" s="12" t="n">
        <v>1</v>
      </c>
      <c r="F33" s="11" t="inlineStr">
        <is>
          <t>lfprisksolutions.com</t>
        </is>
      </c>
      <c r="G33" s="13" t="inlineStr">
        <is>
          <t>luisa@lfprisksolutions.com</t>
        </is>
      </c>
      <c r="H33" s="14" t="inlineStr">
        <is>
          <t>verified</t>
        </is>
      </c>
      <c r="I33" s="13" t="inlineStr">
        <is>
          <t>/in/luisafranco1</t>
        </is>
      </c>
      <c r="J33" s="11" t="inlineStr">
        <is>
          <t>New York New York</t>
        </is>
      </c>
      <c r="K33" s="11" t="inlineStr">
        <is>
          <t>+1 908-956-3755</t>
        </is>
      </c>
      <c r="L33" s="12" t="n">
        <v>2</v>
      </c>
      <c r="M33" s="11" t="inlineStr">
        <is>
          <t>66ff99f7ad0d090001ba4d4f</t>
        </is>
      </c>
    </row>
    <row r="34">
      <c r="A34" s="11" t="inlineStr">
        <is>
          <t>Boutique compliance</t>
        </is>
      </c>
      <c r="B34" s="11" t="inlineStr">
        <is>
          <t>Ken Norensberg</t>
        </is>
      </c>
      <c r="C34" s="11" t="inlineStr">
        <is>
          <t>Chief Executive Officer</t>
        </is>
      </c>
      <c r="D34" s="11" t="inlineStr">
        <is>
          <t>Luxor Financial Group/Broker Dealer/Registered Investment Adviser Experts</t>
        </is>
      </c>
      <c r="E34" s="12" t="n">
        <v>1</v>
      </c>
      <c r="F34" s="11" t="inlineStr">
        <is>
          <t>luxorbd.com</t>
        </is>
      </c>
      <c r="G34" s="13" t="inlineStr">
        <is>
          <t>ken@luxorbd.com</t>
        </is>
      </c>
      <c r="H34" s="14" t="inlineStr">
        <is>
          <t>verified</t>
        </is>
      </c>
      <c r="I34" s="13" t="inlineStr">
        <is>
          <t>/in/kennorensberg</t>
        </is>
      </c>
      <c r="J34" s="11" t="inlineStr">
        <is>
          <t>New York New York</t>
        </is>
      </c>
      <c r="K34" s="11" t="inlineStr">
        <is>
          <t>+1 888-521-8858</t>
        </is>
      </c>
      <c r="L34" s="12" t="n">
        <v>2</v>
      </c>
      <c r="M34" s="11" t="inlineStr">
        <is>
          <t>55706d89736964704f7d2100</t>
        </is>
      </c>
    </row>
    <row r="35">
      <c r="A35" s="11" t="inlineStr">
        <is>
          <t>Boutique compliance</t>
        </is>
      </c>
      <c r="B35" s="11" t="inlineStr">
        <is>
          <t>Giovanni Corrado</t>
        </is>
      </c>
      <c r="C35" s="11" t="inlineStr">
        <is>
          <t>CEO</t>
        </is>
      </c>
      <c r="D35" s="11" t="inlineStr">
        <is>
          <t>NextReg</t>
        </is>
      </c>
      <c r="E35" s="12" t="n">
        <v>1</v>
      </c>
      <c r="F35" s="11" t="inlineStr">
        <is>
          <t>thenextreg.com</t>
        </is>
      </c>
      <c r="G35" s="13" t="inlineStr">
        <is>
          <t>gio@thenextreg.com</t>
        </is>
      </c>
      <c r="H35" s="14" t="inlineStr">
        <is>
          <t>verified</t>
        </is>
      </c>
      <c r="I35" s="13" t="inlineStr">
        <is>
          <t>/in/giovannicorrado1</t>
        </is>
      </c>
      <c r="J35" s="11" t="inlineStr">
        <is>
          <t>Miami Florida</t>
        </is>
      </c>
      <c r="K35" s="11" t="inlineStr"/>
      <c r="L35" s="12" t="n">
        <v>2</v>
      </c>
      <c r="M35" s="11" t="inlineStr">
        <is>
          <t>5cf82b27f6512513c23e9949</t>
        </is>
      </c>
    </row>
    <row r="36">
      <c r="A36" s="11" t="inlineStr">
        <is>
          <t>Boutique compliance</t>
        </is>
      </c>
      <c r="B36" s="11" t="inlineStr">
        <is>
          <t>Victoria Hogan</t>
        </is>
      </c>
      <c r="C36" s="11" t="inlineStr">
        <is>
          <t>President</t>
        </is>
      </c>
      <c r="D36" s="11" t="inlineStr">
        <is>
          <t>NorthPoint Compliance LLC</t>
        </is>
      </c>
      <c r="E36" s="12" t="n">
        <v>1</v>
      </c>
      <c r="F36" s="11" t="inlineStr">
        <is>
          <t>npcomply.com</t>
        </is>
      </c>
      <c r="G36" s="13" t="inlineStr">
        <is>
          <t>vhogan@npcomply.com</t>
        </is>
      </c>
      <c r="H36" s="14" t="inlineStr">
        <is>
          <t>verified</t>
        </is>
      </c>
      <c r="I36" s="13" t="inlineStr">
        <is>
          <t>/in/victoria-g-hogan-cfa-331217a</t>
        </is>
      </c>
      <c r="J36" s="11" t="inlineStr">
        <is>
          <t>New York New York</t>
        </is>
      </c>
      <c r="K36" s="11" t="inlineStr">
        <is>
          <t>+1 732-778-5488</t>
        </is>
      </c>
      <c r="L36" s="12" t="n">
        <v>2</v>
      </c>
      <c r="M36" s="11" t="inlineStr">
        <is>
          <t>66ec3cbbc381350001a2ac5a</t>
        </is>
      </c>
    </row>
    <row r="37">
      <c r="A37" s="11" t="inlineStr">
        <is>
          <t>Boutique compliance</t>
        </is>
      </c>
      <c r="B37" s="11" t="inlineStr">
        <is>
          <t>Jonathan Saxton</t>
        </is>
      </c>
      <c r="C37" s="11" t="inlineStr">
        <is>
          <t>CEO/Founder</t>
        </is>
      </c>
      <c r="D37" s="11" t="inlineStr">
        <is>
          <t>Optima Partners</t>
        </is>
      </c>
      <c r="E37" s="15" t="n">
        <v>5</v>
      </c>
      <c r="F37" s="11" t="inlineStr">
        <is>
          <t>optima-partners.com</t>
        </is>
      </c>
      <c r="G37" s="13" t="inlineStr">
        <is>
          <t>jonathan.saxton@optima-partners.com</t>
        </is>
      </c>
      <c r="H37" s="14" t="inlineStr">
        <is>
          <t>verified</t>
        </is>
      </c>
      <c r="I37" s="13" t="inlineStr">
        <is>
          <t>/in/jonathan-saxton-12588013</t>
        </is>
      </c>
      <c r="J37" s="11" t="inlineStr">
        <is>
          <t>New York New York</t>
        </is>
      </c>
      <c r="K37" s="11" t="inlineStr">
        <is>
          <t>+1 646-205-6380</t>
        </is>
      </c>
      <c r="L37" s="12" t="n">
        <v>2</v>
      </c>
      <c r="M37" s="11" t="inlineStr">
        <is>
          <t>611c2c1c0a01cc0001072ca7</t>
        </is>
      </c>
    </row>
    <row r="38">
      <c r="A38" s="11" t="inlineStr">
        <is>
          <t>Boutique compliance</t>
        </is>
      </c>
      <c r="B38" s="11" t="inlineStr">
        <is>
          <t>Steve Boyd</t>
        </is>
      </c>
      <c r="C38" s="11" t="inlineStr">
        <is>
          <t>Principal</t>
        </is>
      </c>
      <c r="D38" s="11" t="inlineStr">
        <is>
          <t>Optima Partners</t>
        </is>
      </c>
      <c r="E38" s="15" t="n">
        <v>5</v>
      </c>
      <c r="F38" s="11" t="inlineStr">
        <is>
          <t>optima-partners.com</t>
        </is>
      </c>
      <c r="G38" s="13" t="inlineStr">
        <is>
          <t>stephen.boyd@optima-partners.com</t>
        </is>
      </c>
      <c r="H38" s="14" t="inlineStr">
        <is>
          <t>verified</t>
        </is>
      </c>
      <c r="I38" s="13" t="inlineStr">
        <is>
          <t>/in/steve-b-249a2564</t>
        </is>
      </c>
      <c r="J38" s="11" t="inlineStr">
        <is>
          <t>Miami Florida</t>
        </is>
      </c>
      <c r="K38" s="11" t="inlineStr">
        <is>
          <t>+1 646-205-6380</t>
        </is>
      </c>
      <c r="L38" s="12" t="n">
        <v>2</v>
      </c>
      <c r="M38" s="11" t="inlineStr">
        <is>
          <t>672cdb7d47f6880001bfe6c7</t>
        </is>
      </c>
    </row>
    <row r="39">
      <c r="A39" s="11" t="inlineStr">
        <is>
          <t>Boutique compliance</t>
        </is>
      </c>
      <c r="B39" s="11" t="inlineStr">
        <is>
          <t>Pawneet Abramowski</t>
        </is>
      </c>
      <c r="C39" s="11" t="inlineStr">
        <is>
          <t>CEO &amp; Founder</t>
        </is>
      </c>
      <c r="D39" s="11" t="inlineStr">
        <is>
          <t>PARC Solutions</t>
        </is>
      </c>
      <c r="E39" s="12" t="n">
        <v>1</v>
      </c>
      <c r="F39" s="11" t="inlineStr">
        <is>
          <t>parcsolutionsllc.com</t>
        </is>
      </c>
      <c r="G39" s="13" t="inlineStr">
        <is>
          <t>pawneet@parcsolutionsllc.com</t>
        </is>
      </c>
      <c r="H39" s="14" t="inlineStr">
        <is>
          <t>verified</t>
        </is>
      </c>
      <c r="I39" s="13" t="inlineStr">
        <is>
          <t>/in/pawneet</t>
        </is>
      </c>
      <c r="J39" s="11" t="inlineStr">
        <is>
          <t>New York New York</t>
        </is>
      </c>
      <c r="K39" s="11" t="inlineStr"/>
      <c r="L39" s="12" t="n">
        <v>2</v>
      </c>
      <c r="M39" s="11" t="inlineStr">
        <is>
          <t>67004878fb7271000159de31</t>
        </is>
      </c>
    </row>
    <row r="40">
      <c r="A40" s="11" t="inlineStr">
        <is>
          <t>Boutique compliance</t>
        </is>
      </c>
      <c r="B40" s="11" t="inlineStr">
        <is>
          <t>David Lombardy</t>
        </is>
      </c>
      <c r="C40" s="11" t="inlineStr">
        <is>
          <t>Founder and Principal</t>
        </is>
      </c>
      <c r="D40" s="11" t="inlineStr">
        <is>
          <t>Pillar Compliance Group</t>
        </is>
      </c>
      <c r="E40" s="12" t="n">
        <v>1</v>
      </c>
      <c r="F40" s="11" t="inlineStr">
        <is>
          <t>pillarcompliance.com</t>
        </is>
      </c>
      <c r="G40" s="13" t="inlineStr">
        <is>
          <t>dlombardy@pillarcompliance.com</t>
        </is>
      </c>
      <c r="H40" s="14" t="inlineStr">
        <is>
          <t>verified</t>
        </is>
      </c>
      <c r="I40" s="13" t="inlineStr">
        <is>
          <t>/in/david-lombardy-6472a5</t>
        </is>
      </c>
      <c r="J40" s="11" t="inlineStr">
        <is>
          <t>New York New York</t>
        </is>
      </c>
      <c r="K40" s="11" t="inlineStr"/>
      <c r="L40" s="12" t="n">
        <v>1</v>
      </c>
      <c r="M40" s="11" t="inlineStr">
        <is>
          <t>54a7c107746869705aa89750</t>
        </is>
      </c>
    </row>
    <row r="41">
      <c r="A41" s="11" t="inlineStr">
        <is>
          <t>Boutique compliance</t>
        </is>
      </c>
      <c r="B41" s="11" t="inlineStr">
        <is>
          <t>Calvin Robinson</t>
        </is>
      </c>
      <c r="C41" s="11" t="inlineStr">
        <is>
          <t>Managing Partner</t>
        </is>
      </c>
      <c r="D41" s="11" t="inlineStr">
        <is>
          <t>Quadrant Regulatory Group</t>
        </is>
      </c>
      <c r="E41" s="15" t="n">
        <v>3</v>
      </c>
      <c r="F41" s="11" t="inlineStr">
        <is>
          <t>quadrantregulatory.com</t>
        </is>
      </c>
      <c r="G41" s="13" t="inlineStr">
        <is>
          <t>crobinson@quadrantregulatory.com</t>
        </is>
      </c>
      <c r="H41" s="14" t="inlineStr">
        <is>
          <t>verified</t>
        </is>
      </c>
      <c r="I41" s="13" t="inlineStr">
        <is>
          <t>/in/calvinarobinson</t>
        </is>
      </c>
      <c r="J41" s="11" t="inlineStr">
        <is>
          <t>New York New York</t>
        </is>
      </c>
      <c r="K41" s="11" t="inlineStr">
        <is>
          <t>+1 646-930-1900</t>
        </is>
      </c>
      <c r="L41" s="12" t="n">
        <v>1</v>
      </c>
      <c r="M41" s="11" t="inlineStr">
        <is>
          <t>60fced195946ac0001a6fcd2</t>
        </is>
      </c>
    </row>
    <row r="42">
      <c r="A42" s="11" t="inlineStr">
        <is>
          <t>Boutique compliance</t>
        </is>
      </c>
      <c r="B42" s="11" t="inlineStr">
        <is>
          <t>Glenn Marone</t>
        </is>
      </c>
      <c r="C42" s="11" t="inlineStr">
        <is>
          <t>Managing Partner</t>
        </is>
      </c>
      <c r="D42" s="11" t="inlineStr">
        <is>
          <t>Quadrant Regulatory Group</t>
        </is>
      </c>
      <c r="E42" s="15" t="n">
        <v>3</v>
      </c>
      <c r="F42" s="11" t="inlineStr">
        <is>
          <t>quadrantregulatory.com</t>
        </is>
      </c>
      <c r="G42" s="13" t="inlineStr">
        <is>
          <t>gmarone@quadrantregulatory.com</t>
        </is>
      </c>
      <c r="H42" s="14" t="inlineStr">
        <is>
          <t>verified</t>
        </is>
      </c>
      <c r="I42" s="13" t="inlineStr">
        <is>
          <t>/in/glennmarone</t>
        </is>
      </c>
      <c r="J42" s="11" t="inlineStr">
        <is>
          <t>Florida</t>
        </is>
      </c>
      <c r="K42" s="11" t="inlineStr">
        <is>
          <t>+1 646-930-1900</t>
        </is>
      </c>
      <c r="L42" s="12" t="n">
        <v>1</v>
      </c>
      <c r="M42" s="11" t="inlineStr">
        <is>
          <t>5dd1d040df729b000132215c</t>
        </is>
      </c>
    </row>
    <row r="43">
      <c r="A43" s="11" t="inlineStr">
        <is>
          <t>Boutique compliance</t>
        </is>
      </c>
      <c r="B43" s="11" t="inlineStr">
        <is>
          <t>Nicholas Pallante</t>
        </is>
      </c>
      <c r="C43" s="11" t="inlineStr">
        <is>
          <t>Managing Director</t>
        </is>
      </c>
      <c r="D43" s="11" t="inlineStr">
        <is>
          <t>Quadrant Regulatory Group</t>
        </is>
      </c>
      <c r="E43" s="15" t="n">
        <v>3</v>
      </c>
      <c r="F43" s="11" t="inlineStr">
        <is>
          <t>quadrantregulatory.com</t>
        </is>
      </c>
      <c r="G43" s="13" t="inlineStr">
        <is>
          <t>npallante@quadrantregulatory.com</t>
        </is>
      </c>
      <c r="H43" s="14" t="inlineStr">
        <is>
          <t>verified</t>
        </is>
      </c>
      <c r="I43" s="13" t="inlineStr">
        <is>
          <t>/in/nicholas-pallante-b938047</t>
        </is>
      </c>
      <c r="J43" s="11" t="inlineStr">
        <is>
          <t>New York New York</t>
        </is>
      </c>
      <c r="K43" s="11" t="inlineStr">
        <is>
          <t>+1 646-930-1900</t>
        </is>
      </c>
      <c r="L43" s="12" t="n">
        <v>2</v>
      </c>
      <c r="M43" s="11" t="inlineStr">
        <is>
          <t>54a1f6037468693825adf100</t>
        </is>
      </c>
    </row>
    <row r="44">
      <c r="A44" s="11" t="inlineStr">
        <is>
          <t>Boutique compliance</t>
        </is>
      </c>
      <c r="B44" s="11" t="inlineStr">
        <is>
          <t>Gerard Clark</t>
        </is>
      </c>
      <c r="C44" s="11" t="inlineStr">
        <is>
          <t>Chief Executive Officer</t>
        </is>
      </c>
      <c r="D44" s="11" t="inlineStr">
        <is>
          <t>Regulatory Compliance LLC</t>
        </is>
      </c>
      <c r="E44" s="12" t="n">
        <v>1</v>
      </c>
      <c r="F44" s="11" t="inlineStr"/>
      <c r="G44" s="11" t="inlineStr"/>
      <c r="H44" s="16" t="inlineStr">
        <is>
          <t>unavailable</t>
        </is>
      </c>
      <c r="I44" s="13" t="inlineStr">
        <is>
          <t>/in/gerard-clark</t>
        </is>
      </c>
      <c r="J44" s="11" t="inlineStr">
        <is>
          <t>Massachusetts</t>
        </is>
      </c>
      <c r="K44" s="11" t="inlineStr"/>
      <c r="L44" s="12" t="n">
        <v>1</v>
      </c>
      <c r="M44" s="11" t="inlineStr">
        <is>
          <t>69f86d778476900001117acf</t>
        </is>
      </c>
    </row>
    <row r="45">
      <c r="A45" s="11" t="inlineStr">
        <is>
          <t>Boutique compliance</t>
        </is>
      </c>
      <c r="B45" s="11" t="inlineStr">
        <is>
          <t>Ivan Barretto</t>
        </is>
      </c>
      <c r="C45" s="11" t="inlineStr">
        <is>
          <t>Founder and Managing Director</t>
        </is>
      </c>
      <c r="D45" s="11" t="inlineStr">
        <is>
          <t>RIA Compliance Concepts</t>
        </is>
      </c>
      <c r="E45" s="12" t="n">
        <v>1</v>
      </c>
      <c r="F45" s="11" t="inlineStr">
        <is>
          <t>riacc.io</t>
        </is>
      </c>
      <c r="G45" s="13" t="inlineStr">
        <is>
          <t>ivan@riacc.io</t>
        </is>
      </c>
      <c r="H45" s="14" t="inlineStr">
        <is>
          <t>verified</t>
        </is>
      </c>
      <c r="I45" s="13" t="inlineStr">
        <is>
          <t>/in/ivanbarretto30</t>
        </is>
      </c>
      <c r="J45" s="11" t="inlineStr">
        <is>
          <t>Texas</t>
        </is>
      </c>
      <c r="K45" s="11" t="inlineStr">
        <is>
          <t>+1 833-742-2246</t>
        </is>
      </c>
      <c r="L45" s="12" t="n">
        <v>1</v>
      </c>
      <c r="M45" s="11" t="inlineStr">
        <is>
          <t>66f49ba68fa53f000177c729</t>
        </is>
      </c>
    </row>
    <row r="46">
      <c r="A46" s="11" t="inlineStr">
        <is>
          <t>Boutique compliance</t>
        </is>
      </c>
      <c r="B46" s="11" t="inlineStr">
        <is>
          <t>Richard Rondano</t>
        </is>
      </c>
      <c r="C46" s="11" t="inlineStr">
        <is>
          <t>Managing Partner &amp; Founder</t>
        </is>
      </c>
      <c r="D46" s="11" t="inlineStr">
        <is>
          <t>Risk &amp; Compliance Consulting, LLC</t>
        </is>
      </c>
      <c r="E46" s="12" t="n">
        <v>1</v>
      </c>
      <c r="F46" s="11" t="inlineStr"/>
      <c r="G46" s="11" t="inlineStr"/>
      <c r="H46" s="16" t="inlineStr">
        <is>
          <t>unavailable</t>
        </is>
      </c>
      <c r="I46" s="13" t="inlineStr">
        <is>
          <t>/in/richardrondano</t>
        </is>
      </c>
      <c r="J46" s="11" t="inlineStr">
        <is>
          <t>New York New York</t>
        </is>
      </c>
      <c r="K46" s="11" t="inlineStr"/>
      <c r="L46" s="12" t="n">
        <v>1</v>
      </c>
      <c r="M46" s="11" t="inlineStr">
        <is>
          <t>54a78ec07468696de776e93f</t>
        </is>
      </c>
    </row>
    <row r="47">
      <c r="A47" s="11" t="inlineStr">
        <is>
          <t>Boutique compliance</t>
        </is>
      </c>
      <c r="B47" s="11" t="inlineStr">
        <is>
          <t>Allison Gill</t>
        </is>
      </c>
      <c r="C47" s="11" t="inlineStr">
        <is>
          <t>Managing Director</t>
        </is>
      </c>
      <c r="D47" s="11" t="inlineStr">
        <is>
          <t>RQC Group</t>
        </is>
      </c>
      <c r="E47" s="12" t="n">
        <v>1</v>
      </c>
      <c r="F47" s="11" t="inlineStr">
        <is>
          <t>rqcgroup.com</t>
        </is>
      </c>
      <c r="G47" s="13" t="inlineStr">
        <is>
          <t>agill@rqcgroup.com</t>
        </is>
      </c>
      <c r="H47" s="14" t="inlineStr">
        <is>
          <t>verified</t>
        </is>
      </c>
      <c r="I47" s="13" t="inlineStr">
        <is>
          <t>/in/allison-gill-9860734</t>
        </is>
      </c>
      <c r="J47" s="11" t="inlineStr">
        <is>
          <t>New York New York</t>
        </is>
      </c>
      <c r="K47" s="11" t="inlineStr">
        <is>
          <t>+44 20 7958 9127</t>
        </is>
      </c>
      <c r="L47" s="12" t="n">
        <v>2</v>
      </c>
      <c r="M47" s="11" t="inlineStr">
        <is>
          <t>55ce3188f3e5bb3733001ab1</t>
        </is>
      </c>
    </row>
    <row r="48">
      <c r="A48" s="11" t="inlineStr">
        <is>
          <t>Boutique compliance</t>
        </is>
      </c>
      <c r="B48" s="11" t="inlineStr">
        <is>
          <t>Janaya Moscony</t>
        </is>
      </c>
      <c r="C48" s="11" t="inlineStr">
        <is>
          <t>President</t>
        </is>
      </c>
      <c r="D48" s="11" t="inlineStr">
        <is>
          <t>SEC Compliance Consultants, Inc. (SEC3)</t>
        </is>
      </c>
      <c r="E48" s="12" t="n">
        <v>1</v>
      </c>
      <c r="F48" s="11" t="inlineStr">
        <is>
          <t>sec3compliance.com</t>
        </is>
      </c>
      <c r="G48" s="13" t="inlineStr">
        <is>
          <t>janaya@sec3compliance.com</t>
        </is>
      </c>
      <c r="H48" s="14" t="inlineStr">
        <is>
          <t>verified</t>
        </is>
      </c>
      <c r="I48" s="13" t="inlineStr">
        <is>
          <t>/in/janayasec3</t>
        </is>
      </c>
      <c r="J48" s="11" t="inlineStr">
        <is>
          <t>Miami Florida</t>
        </is>
      </c>
      <c r="K48" s="11" t="inlineStr">
        <is>
          <t>+1 212-706-4029</t>
        </is>
      </c>
      <c r="L48" s="12" t="n">
        <v>2</v>
      </c>
      <c r="M48" s="11" t="inlineStr">
        <is>
          <t>66f9a039d1c6fd00016868a1</t>
        </is>
      </c>
    </row>
    <row r="49">
      <c r="A49" s="11" t="inlineStr">
        <is>
          <t>Boutique compliance</t>
        </is>
      </c>
      <c r="B49" s="11" t="inlineStr">
        <is>
          <t>Brian Kesselman</t>
        </is>
      </c>
      <c r="C49" s="11" t="inlineStr">
        <is>
          <t>Founder/CRO</t>
        </is>
      </c>
      <c r="D49" s="11" t="inlineStr">
        <is>
          <t>Skematic</t>
        </is>
      </c>
      <c r="E49" s="15" t="n">
        <v>2</v>
      </c>
      <c r="F49" s="11" t="inlineStr">
        <is>
          <t>skematic.com</t>
        </is>
      </c>
      <c r="G49" s="13" t="inlineStr">
        <is>
          <t>brian@skematic.com</t>
        </is>
      </c>
      <c r="H49" s="14" t="inlineStr">
        <is>
          <t>verified</t>
        </is>
      </c>
      <c r="I49" s="13" t="inlineStr">
        <is>
          <t>/in/brian-kesselman</t>
        </is>
      </c>
      <c r="J49" s="11" t="inlineStr">
        <is>
          <t>Miami Beach Florida</t>
        </is>
      </c>
      <c r="K49" s="11" t="inlineStr">
        <is>
          <t>+1 512-827-8254</t>
        </is>
      </c>
      <c r="L49" s="12" t="n">
        <v>2</v>
      </c>
      <c r="M49" s="11" t="inlineStr">
        <is>
          <t>66fe7e055898520001da76d6</t>
        </is>
      </c>
    </row>
    <row r="50">
      <c r="A50" s="11" t="inlineStr">
        <is>
          <t>Boutique compliance</t>
        </is>
      </c>
      <c r="B50" s="11" t="inlineStr">
        <is>
          <t>Jon Lo</t>
        </is>
      </c>
      <c r="C50" s="11" t="inlineStr">
        <is>
          <t>Co-Founder &amp; Managing Director</t>
        </is>
      </c>
      <c r="D50" s="11" t="inlineStr">
        <is>
          <t>StrategyBRIX</t>
        </is>
      </c>
      <c r="E50" s="12" t="n">
        <v>1</v>
      </c>
      <c r="F50" s="11" t="inlineStr">
        <is>
          <t>strategybrix.com</t>
        </is>
      </c>
      <c r="G50" s="13" t="inlineStr">
        <is>
          <t>jon@strategybrix.com</t>
        </is>
      </c>
      <c r="H50" s="14" t="inlineStr">
        <is>
          <t>verified</t>
        </is>
      </c>
      <c r="I50" s="13" t="inlineStr">
        <is>
          <t>/in/jon-lo-cams</t>
        </is>
      </c>
      <c r="J50" s="11" t="inlineStr">
        <is>
          <t>New York New York</t>
        </is>
      </c>
      <c r="K50" s="11" t="inlineStr"/>
      <c r="L50" s="12" t="n">
        <v>2</v>
      </c>
      <c r="M50" s="11" t="inlineStr">
        <is>
          <t>66f3e0438b93af0001c3aa17</t>
        </is>
      </c>
    </row>
    <row r="51">
      <c r="A51" s="11" t="inlineStr">
        <is>
          <t>Boutique compliance</t>
        </is>
      </c>
      <c r="B51" s="11" t="inlineStr">
        <is>
          <t>Gerald Roop</t>
        </is>
      </c>
      <c r="C51" s="11" t="inlineStr">
        <is>
          <t>Principal</t>
        </is>
      </c>
      <c r="D51" s="11" t="inlineStr">
        <is>
          <t>Treliant (Acquired by Huron - 2025)</t>
        </is>
      </c>
      <c r="E51" s="12" t="n">
        <v>1</v>
      </c>
      <c r="F51" s="11" t="inlineStr">
        <is>
          <t>treliant.com</t>
        </is>
      </c>
      <c r="G51" s="11" t="inlineStr"/>
      <c r="H51" s="16" t="inlineStr">
        <is>
          <t>unavailable</t>
        </is>
      </c>
      <c r="I51" s="13" t="inlineStr">
        <is>
          <t>/in/gerald-roop-285639b</t>
        </is>
      </c>
      <c r="J51" s="11" t="inlineStr">
        <is>
          <t>Fort Lauderdale Florida</t>
        </is>
      </c>
      <c r="K51" s="11" t="inlineStr">
        <is>
          <t>+1 202-249-7950</t>
        </is>
      </c>
      <c r="L51" s="12" t="n">
        <v>2</v>
      </c>
      <c r="M51" s="11" t="inlineStr">
        <is>
          <t>60c87b3f8862cf000156d890</t>
        </is>
      </c>
    </row>
    <row r="52">
      <c r="A52" s="11" t="inlineStr">
        <is>
          <t>Boutique compliance</t>
        </is>
      </c>
      <c r="B52" s="11" t="inlineStr">
        <is>
          <t>Dorothy Dewitt</t>
        </is>
      </c>
      <c r="C52" s="11" t="inlineStr">
        <is>
          <t>Founder, CEO</t>
        </is>
      </c>
      <c r="D52" s="11" t="inlineStr">
        <is>
          <t>Tölt Strategies</t>
        </is>
      </c>
      <c r="E52" s="12" t="n">
        <v>1</v>
      </c>
      <c r="F52" s="11" t="inlineStr">
        <is>
          <t>toltstrategies.com</t>
        </is>
      </c>
      <c r="G52" s="13" t="inlineStr">
        <is>
          <t>dorothy.dewitt@toltstrategies.com</t>
        </is>
      </c>
      <c r="H52" s="14" t="inlineStr">
        <is>
          <t>verified</t>
        </is>
      </c>
      <c r="I52" s="13" t="inlineStr">
        <is>
          <t>/in/dorothydewitt</t>
        </is>
      </c>
      <c r="J52" s="11" t="inlineStr">
        <is>
          <t>New York New York</t>
        </is>
      </c>
      <c r="K52" s="11" t="inlineStr">
        <is>
          <t>+1 212-287-5810</t>
        </is>
      </c>
      <c r="L52" s="12" t="n">
        <v>2</v>
      </c>
      <c r="M52" s="11" t="inlineStr">
        <is>
          <t>66f14b49ed5ec3000144d0f7</t>
        </is>
      </c>
    </row>
    <row r="53">
      <c r="A53" s="11" t="inlineStr">
        <is>
          <t>Boutique compliance</t>
        </is>
      </c>
      <c r="B53" s="11" t="inlineStr">
        <is>
          <t>Michael Evans</t>
        </is>
      </c>
      <c r="C53" s="11" t="inlineStr">
        <is>
          <t>Founder</t>
        </is>
      </c>
      <c r="D53" s="11" t="inlineStr">
        <is>
          <t>VEGA Compliance Consulting &amp; Expert Witness</t>
        </is>
      </c>
      <c r="E53" s="12" t="n">
        <v>1</v>
      </c>
      <c r="F53" s="11" t="inlineStr">
        <is>
          <t>vegacompliance.com</t>
        </is>
      </c>
      <c r="G53" s="13" t="inlineStr">
        <is>
          <t>mike.evans@vegacompliance.com</t>
        </is>
      </c>
      <c r="H53" s="14" t="inlineStr">
        <is>
          <t>verified</t>
        </is>
      </c>
      <c r="I53" s="13" t="inlineStr">
        <is>
          <t>/in/mgevans</t>
        </is>
      </c>
      <c r="J53" s="11" t="inlineStr">
        <is>
          <t>New York New York</t>
        </is>
      </c>
      <c r="K53" s="11" t="inlineStr">
        <is>
          <t>+1 929-459-3680</t>
        </is>
      </c>
      <c r="L53" s="12" t="n">
        <v>2</v>
      </c>
      <c r="M53" s="11" t="inlineStr">
        <is>
          <t>5b2fab41a6da982cc18aa923</t>
        </is>
      </c>
    </row>
    <row r="54">
      <c r="A54" s="11" t="inlineStr">
        <is>
          <t>Boutique compliance</t>
        </is>
      </c>
      <c r="B54" s="11" t="inlineStr">
        <is>
          <t>Joe Paul</t>
        </is>
      </c>
      <c r="C54" s="11" t="inlineStr">
        <is>
          <t>Principal and Assurance Practice Leader</t>
        </is>
      </c>
      <c r="D54" s="11" t="inlineStr">
        <is>
          <t>Venning</t>
        </is>
      </c>
      <c r="E54" s="15" t="n">
        <v>3</v>
      </c>
      <c r="F54" s="11" t="inlineStr">
        <is>
          <t>venningadvisors.com</t>
        </is>
      </c>
      <c r="G54" s="13" t="inlineStr">
        <is>
          <t>jpaul@venningadvisors.com</t>
        </is>
      </c>
      <c r="H54" s="14" t="inlineStr">
        <is>
          <t>verified</t>
        </is>
      </c>
      <c r="I54" s="13" t="inlineStr">
        <is>
          <t>/in/josephhpaul</t>
        </is>
      </c>
      <c r="J54" s="11" t="inlineStr">
        <is>
          <t>West Palm Beach Florida</t>
        </is>
      </c>
      <c r="K54" s="11" t="inlineStr">
        <is>
          <t>+1 410-329-6002</t>
        </is>
      </c>
      <c r="L54" s="12" t="n">
        <v>2</v>
      </c>
      <c r="M54" s="11" t="inlineStr">
        <is>
          <t>5ae28ebca6da984d18ffb36d</t>
        </is>
      </c>
    </row>
    <row r="55">
      <c r="A55" s="11" t="inlineStr">
        <is>
          <t>Boutique compliance</t>
        </is>
      </c>
      <c r="B55" s="11" t="inlineStr">
        <is>
          <t>Mariela Reyes</t>
        </is>
      </c>
      <c r="C55" s="11" t="inlineStr">
        <is>
          <t>Principal</t>
        </is>
      </c>
      <c r="D55" s="11" t="inlineStr">
        <is>
          <t>Venning</t>
        </is>
      </c>
      <c r="E55" s="15" t="n">
        <v>3</v>
      </c>
      <c r="F55" s="11" t="inlineStr">
        <is>
          <t>venningadvisors.com</t>
        </is>
      </c>
      <c r="G55" s="13" t="inlineStr">
        <is>
          <t>mreyes@venningadvisors.com</t>
        </is>
      </c>
      <c r="H55" s="14" t="inlineStr">
        <is>
          <t>verified</t>
        </is>
      </c>
      <c r="I55" s="13" t="inlineStr">
        <is>
          <t>/in/mariela-reyes-1b286a17</t>
        </is>
      </c>
      <c r="J55" s="11" t="inlineStr">
        <is>
          <t>Miami Beach Florida</t>
        </is>
      </c>
      <c r="K55" s="11" t="inlineStr">
        <is>
          <t>+1 410-329-6002</t>
        </is>
      </c>
      <c r="L55" s="12" t="n">
        <v>2</v>
      </c>
      <c r="M55" s="11" t="inlineStr">
        <is>
          <t>54ebfe9f746869431172be39</t>
        </is>
      </c>
    </row>
    <row r="56">
      <c r="A56" s="11" t="inlineStr">
        <is>
          <t>Boutique compliance</t>
        </is>
      </c>
      <c r="B56" s="11" t="inlineStr">
        <is>
          <t>Amy Yuter</t>
        </is>
      </c>
      <c r="C56" s="11" t="inlineStr">
        <is>
          <t>Managing Principal</t>
        </is>
      </c>
      <c r="D56" s="11" t="inlineStr">
        <is>
          <t>Yuter Compliance Consulting</t>
        </is>
      </c>
      <c r="E56" s="12" t="n">
        <v>1</v>
      </c>
      <c r="F56" s="11" t="inlineStr">
        <is>
          <t>yutercompliance.com</t>
        </is>
      </c>
      <c r="G56" s="13" t="inlineStr">
        <is>
          <t>ayuter@yutercompliance.com</t>
        </is>
      </c>
      <c r="H56" s="14" t="inlineStr">
        <is>
          <t>verified</t>
        </is>
      </c>
      <c r="I56" s="13" t="inlineStr">
        <is>
          <t>/in/amy-yuter-b2284544</t>
        </is>
      </c>
      <c r="J56" s="11" t="inlineStr">
        <is>
          <t>Philadelphia Pennsylvania</t>
        </is>
      </c>
      <c r="K56" s="11" t="inlineStr">
        <is>
          <t>+1 215-550-1508</t>
        </is>
      </c>
      <c r="L56" s="12" t="n">
        <v>1</v>
      </c>
      <c r="M56" s="11" t="inlineStr">
        <is>
          <t>54a4026074686938ac654325</t>
        </is>
      </c>
    </row>
    <row r="57">
      <c r="A57" s="11" t="inlineStr">
        <is>
          <t>Compliance (national)</t>
        </is>
      </c>
      <c r="B57" s="11" t="inlineStr">
        <is>
          <t>Allison Jaffe</t>
        </is>
      </c>
      <c r="C57" s="11" t="inlineStr">
        <is>
          <t>Principal and Director of Compliance Programs</t>
        </is>
      </c>
      <c r="D57" s="11" t="inlineStr">
        <is>
          <t>3iCO</t>
        </is>
      </c>
      <c r="E57" s="12" t="n">
        <v>1</v>
      </c>
      <c r="F57" s="11" t="inlineStr">
        <is>
          <t>3ico.com</t>
        </is>
      </c>
      <c r="G57" s="13" t="inlineStr">
        <is>
          <t>ajaffe@3icollc.com</t>
        </is>
      </c>
      <c r="H57" s="14" t="inlineStr">
        <is>
          <t>verified</t>
        </is>
      </c>
      <c r="I57" s="13" t="inlineStr">
        <is>
          <t>/in/allison-jaffe-3ico</t>
        </is>
      </c>
      <c r="J57" s="11" t="inlineStr">
        <is>
          <t>New York New York</t>
        </is>
      </c>
      <c r="K57" s="11" t="inlineStr">
        <is>
          <t>+1 917-913-5619</t>
        </is>
      </c>
      <c r="L57" s="12" t="n">
        <v>3</v>
      </c>
      <c r="M57" s="11" t="inlineStr">
        <is>
          <t>54a7572d74686968294b7e2b</t>
        </is>
      </c>
    </row>
    <row r="58">
      <c r="A58" s="11" t="inlineStr">
        <is>
          <t>Compliance (national)</t>
        </is>
      </c>
      <c r="B58" s="11" t="inlineStr">
        <is>
          <t>Andrew Fischer</t>
        </is>
      </c>
      <c r="C58" s="11" t="inlineStr">
        <is>
          <t>Director (Supervising Principal)</t>
        </is>
      </c>
      <c r="D58" s="11" t="inlineStr">
        <is>
          <t>ACA Foreside</t>
        </is>
      </c>
      <c r="E58" s="15" t="n">
        <v>5</v>
      </c>
      <c r="F58" s="11" t="inlineStr">
        <is>
          <t>foreside.com</t>
        </is>
      </c>
      <c r="G58" s="13" t="inlineStr">
        <is>
          <t>afischer@foreside.com</t>
        </is>
      </c>
      <c r="H58" s="14" t="inlineStr">
        <is>
          <t>verified</t>
        </is>
      </c>
      <c r="I58" s="13" t="inlineStr">
        <is>
          <t>/in/andrew-fischer-a3b59094</t>
        </is>
      </c>
      <c r="J58" s="11" t="inlineStr">
        <is>
          <t>Portland Maine</t>
        </is>
      </c>
      <c r="K58" s="11" t="inlineStr">
        <is>
          <t>+1 207-553-7110</t>
        </is>
      </c>
      <c r="L58" s="12" t="n">
        <v>4</v>
      </c>
      <c r="M58" s="11" t="inlineStr">
        <is>
          <t>5ad631b9a6da98678272f4c6</t>
        </is>
      </c>
    </row>
    <row r="59">
      <c r="A59" s="11" t="inlineStr">
        <is>
          <t>Compliance (national)</t>
        </is>
      </c>
      <c r="B59" s="11" t="inlineStr">
        <is>
          <t>Ashley Zeiher</t>
        </is>
      </c>
      <c r="C59" s="11" t="inlineStr">
        <is>
          <t>Principal Consultant</t>
        </is>
      </c>
      <c r="D59" s="11" t="inlineStr">
        <is>
          <t>ACA Foreside</t>
        </is>
      </c>
      <c r="E59" s="15" t="n">
        <v>5</v>
      </c>
      <c r="F59" s="11" t="inlineStr">
        <is>
          <t>foreside.com</t>
        </is>
      </c>
      <c r="G59" s="11" t="inlineStr"/>
      <c r="H59" s="16" t="inlineStr">
        <is>
          <t>unavailable</t>
        </is>
      </c>
      <c r="I59" s="13" t="inlineStr">
        <is>
          <t>/in/ashleyzeiher</t>
        </is>
      </c>
      <c r="J59" s="11" t="inlineStr">
        <is>
          <t>Milwaukee Wisconsin</t>
        </is>
      </c>
      <c r="K59" s="11" t="inlineStr">
        <is>
          <t>+1 207-553-7110</t>
        </is>
      </c>
      <c r="L59" s="12" t="n">
        <v>4</v>
      </c>
      <c r="M59" s="11" t="inlineStr">
        <is>
          <t>57daa00da6da984a3449365a</t>
        </is>
      </c>
    </row>
    <row r="60">
      <c r="A60" s="11" t="inlineStr">
        <is>
          <t>Compliance (national)</t>
        </is>
      </c>
      <c r="B60" s="11" t="inlineStr">
        <is>
          <t>Heather Hjelm</t>
        </is>
      </c>
      <c r="C60" s="11" t="inlineStr">
        <is>
          <t>Director (Supervisory Principal)</t>
        </is>
      </c>
      <c r="D60" s="11" t="inlineStr">
        <is>
          <t>ACA Foreside</t>
        </is>
      </c>
      <c r="E60" s="15" t="n">
        <v>5</v>
      </c>
      <c r="F60" s="11" t="inlineStr">
        <is>
          <t>foreside.com</t>
        </is>
      </c>
      <c r="G60" s="11" t="inlineStr"/>
      <c r="H60" s="16" t="inlineStr">
        <is>
          <t>unavailable</t>
        </is>
      </c>
      <c r="I60" s="13" t="inlineStr">
        <is>
          <t>/in/heather-hjelm-b7b3b21a</t>
        </is>
      </c>
      <c r="J60" s="11" t="inlineStr">
        <is>
          <t>Garden City New York</t>
        </is>
      </c>
      <c r="K60" s="11" t="inlineStr">
        <is>
          <t>+1 207-553-7110</t>
        </is>
      </c>
      <c r="L60" s="12" t="n">
        <v>4</v>
      </c>
      <c r="M60" s="11" t="inlineStr">
        <is>
          <t>54a3d5617468693b8c4e7b16</t>
        </is>
      </c>
    </row>
    <row r="61">
      <c r="A61" s="11" t="inlineStr">
        <is>
          <t>Compliance (national)</t>
        </is>
      </c>
      <c r="B61" s="11" t="inlineStr">
        <is>
          <t>Mary Ellen Dunn</t>
        </is>
      </c>
      <c r="C61" s="11" t="inlineStr">
        <is>
          <t>Senior Principal Consultant</t>
        </is>
      </c>
      <c r="D61" s="11" t="inlineStr">
        <is>
          <t>ACA Foreside</t>
        </is>
      </c>
      <c r="E61" s="15" t="n">
        <v>5</v>
      </c>
      <c r="F61" s="11" t="inlineStr">
        <is>
          <t>foreside.com</t>
        </is>
      </c>
      <c r="G61" s="13" t="inlineStr">
        <is>
          <t>maryellen.dunn@acaglobal.com</t>
        </is>
      </c>
      <c r="H61" s="14" t="inlineStr">
        <is>
          <t>verified</t>
        </is>
      </c>
      <c r="I61" s="13" t="inlineStr">
        <is>
          <t>/in/mary-ellen-dunn-79a69455</t>
        </is>
      </c>
      <c r="J61" s="11" t="inlineStr">
        <is>
          <t>New York New York</t>
        </is>
      </c>
      <c r="K61" s="11" t="inlineStr">
        <is>
          <t>+1 207-553-7110</t>
        </is>
      </c>
      <c r="L61" s="12" t="n">
        <v>4</v>
      </c>
      <c r="M61" s="11" t="inlineStr">
        <is>
          <t>54a60aeb7468693b8c51febd</t>
        </is>
      </c>
    </row>
    <row r="62">
      <c r="A62" s="11" t="inlineStr">
        <is>
          <t>Compliance (national)</t>
        </is>
      </c>
      <c r="B62" s="11" t="inlineStr">
        <is>
          <t>Richard Berthy</t>
        </is>
      </c>
      <c r="C62" s="11" t="inlineStr">
        <is>
          <t>Chief Executive Officer</t>
        </is>
      </c>
      <c r="D62" s="11" t="inlineStr">
        <is>
          <t>ACA Foreside</t>
        </is>
      </c>
      <c r="E62" s="15" t="n">
        <v>5</v>
      </c>
      <c r="F62" s="11" t="inlineStr"/>
      <c r="G62" s="13" t="inlineStr">
        <is>
          <t>rberthy@foreside.com</t>
        </is>
      </c>
      <c r="H62" s="14" t="inlineStr">
        <is>
          <t>verified</t>
        </is>
      </c>
      <c r="I62" s="13" t="inlineStr">
        <is>
          <t>/in/richard-berthy-66812914</t>
        </is>
      </c>
      <c r="J62" s="11" t="inlineStr">
        <is>
          <t>Portland Maine</t>
        </is>
      </c>
      <c r="K62" s="11" t="inlineStr">
        <is>
          <t>+1 207-553-7110</t>
        </is>
      </c>
      <c r="L62" s="12" t="n">
        <v>3</v>
      </c>
      <c r="M62" s="11" t="inlineStr">
        <is>
          <t>69befb6af4c27b0001a984c9</t>
        </is>
      </c>
    </row>
    <row r="63">
      <c r="A63" s="11" t="inlineStr">
        <is>
          <t>Compliance (national)</t>
        </is>
      </c>
      <c r="B63" s="11" t="inlineStr">
        <is>
          <t>Tiffany Ramirez</t>
        </is>
      </c>
      <c r="C63" s="11" t="inlineStr">
        <is>
          <t>Founder and Managing Partner</t>
        </is>
      </c>
      <c r="D63" s="11" t="inlineStr">
        <is>
          <t>Adviser Solutions Group LLC</t>
        </is>
      </c>
      <c r="E63" s="12" t="n">
        <v>1</v>
      </c>
      <c r="F63" s="11" t="inlineStr">
        <is>
          <t>advisersolutionsgroup.com</t>
        </is>
      </c>
      <c r="G63" s="11" t="inlineStr"/>
      <c r="H63" s="16" t="inlineStr">
        <is>
          <t>unavailable</t>
        </is>
      </c>
      <c r="I63" s="13" t="inlineStr">
        <is>
          <t>/in/tiffanylramirez</t>
        </is>
      </c>
      <c r="J63" s="11" t="inlineStr">
        <is>
          <t>Dallas Texas</t>
        </is>
      </c>
      <c r="K63" s="11" t="inlineStr">
        <is>
          <t>+1 214-909-2235</t>
        </is>
      </c>
      <c r="L63" s="12" t="n">
        <v>3</v>
      </c>
      <c r="M63" s="11" t="inlineStr">
        <is>
          <t>54ec1a54746869444c972150</t>
        </is>
      </c>
    </row>
    <row r="64">
      <c r="A64" s="11" t="inlineStr">
        <is>
          <t>Compliance (national)</t>
        </is>
      </c>
      <c r="B64" s="11" t="inlineStr">
        <is>
          <t>Frances Meany</t>
        </is>
      </c>
      <c r="C64" s="11" t="inlineStr">
        <is>
          <t>Principal AML Consultant</t>
        </is>
      </c>
      <c r="D64" s="11" t="inlineStr">
        <is>
          <t>Aspect Advisors</t>
        </is>
      </c>
      <c r="E64" s="15" t="n">
        <v>6</v>
      </c>
      <c r="F64" s="11" t="inlineStr">
        <is>
          <t>aspectadv.com</t>
        </is>
      </c>
      <c r="G64" s="13" t="inlineStr">
        <is>
          <t>frances@aspectadv.com</t>
        </is>
      </c>
      <c r="H64" s="14" t="inlineStr">
        <is>
          <t>verified</t>
        </is>
      </c>
      <c r="I64" s="13" t="inlineStr">
        <is>
          <t>/in/frances-meany-cams-6a449997</t>
        </is>
      </c>
      <c r="J64" s="11" t="inlineStr">
        <is>
          <t>Denver Colorado</t>
        </is>
      </c>
      <c r="K64" s="11" t="inlineStr">
        <is>
          <t>+1 415-423-3445</t>
        </is>
      </c>
      <c r="L64" s="12" t="n">
        <v>3</v>
      </c>
      <c r="M64" s="11" t="inlineStr">
        <is>
          <t>5e7908fc22a6910001843de4</t>
        </is>
      </c>
    </row>
    <row r="65">
      <c r="A65" s="11" t="inlineStr">
        <is>
          <t>Compliance (national)</t>
        </is>
      </c>
      <c r="B65" s="11" t="inlineStr">
        <is>
          <t>Meredith Geldhauser</t>
        </is>
      </c>
      <c r="C65" s="11" t="inlineStr">
        <is>
          <t>Principal Consultant</t>
        </is>
      </c>
      <c r="D65" s="11" t="inlineStr">
        <is>
          <t>Aspect Advisors</t>
        </is>
      </c>
      <c r="E65" s="15" t="n">
        <v>6</v>
      </c>
      <c r="F65" s="11" t="inlineStr">
        <is>
          <t>aspectadv.com</t>
        </is>
      </c>
      <c r="G65" s="13" t="inlineStr">
        <is>
          <t>meredith@aspectadv.com</t>
        </is>
      </c>
      <c r="H65" s="14" t="inlineStr">
        <is>
          <t>verified</t>
        </is>
      </c>
      <c r="I65" s="13" t="inlineStr">
        <is>
          <t>/in/meredith-geldhauser</t>
        </is>
      </c>
      <c r="J65" s="11" t="inlineStr">
        <is>
          <t>Atlanta Georgia</t>
        </is>
      </c>
      <c r="K65" s="11" t="inlineStr">
        <is>
          <t>+1 415-423-3445</t>
        </is>
      </c>
      <c r="L65" s="12" t="n">
        <v>3</v>
      </c>
      <c r="M65" s="11" t="inlineStr">
        <is>
          <t>601bf24d67b2da0001e04b9b</t>
        </is>
      </c>
    </row>
    <row r="66">
      <c r="A66" s="11" t="inlineStr">
        <is>
          <t>Compliance (national)</t>
        </is>
      </c>
      <c r="B66" s="11" t="inlineStr">
        <is>
          <t>Patrick Labbe</t>
        </is>
      </c>
      <c r="C66" s="11" t="inlineStr">
        <is>
          <t>Principal Compliance Consultant</t>
        </is>
      </c>
      <c r="D66" s="11" t="inlineStr">
        <is>
          <t>Aspect Advisors</t>
        </is>
      </c>
      <c r="E66" s="15" t="n">
        <v>6</v>
      </c>
      <c r="F66" s="11" t="inlineStr">
        <is>
          <t>aspectadv.com</t>
        </is>
      </c>
      <c r="G66" s="13" t="inlineStr">
        <is>
          <t>patrick@aspectadv.com</t>
        </is>
      </c>
      <c r="H66" s="14" t="inlineStr">
        <is>
          <t>verified</t>
        </is>
      </c>
      <c r="I66" s="13" t="inlineStr">
        <is>
          <t>/in/patrick-labbe-bb017067</t>
        </is>
      </c>
      <c r="J66" s="11" t="inlineStr">
        <is>
          <t>Boston Massachusetts</t>
        </is>
      </c>
      <c r="K66" s="11" t="inlineStr">
        <is>
          <t>+1 415-423-3445</t>
        </is>
      </c>
      <c r="L66" s="12" t="n">
        <v>3</v>
      </c>
      <c r="M66" s="11" t="inlineStr">
        <is>
          <t>54a79295746869730a56ed41</t>
        </is>
      </c>
    </row>
    <row r="67">
      <c r="A67" s="11" t="inlineStr">
        <is>
          <t>Compliance (national)</t>
        </is>
      </c>
      <c r="B67" s="11" t="inlineStr">
        <is>
          <t>Sami Oudeh</t>
        </is>
      </c>
      <c r="C67" s="11" t="inlineStr">
        <is>
          <t>Principal Compliance Consultant</t>
        </is>
      </c>
      <c r="D67" s="11" t="inlineStr">
        <is>
          <t>Aspect Advisors</t>
        </is>
      </c>
      <c r="E67" s="15" t="n">
        <v>6</v>
      </c>
      <c r="F67" s="11" t="inlineStr">
        <is>
          <t>aspectadv.com</t>
        </is>
      </c>
      <c r="G67" s="11" t="inlineStr"/>
      <c r="H67" s="16" t="inlineStr">
        <is>
          <t>unavailable</t>
        </is>
      </c>
      <c r="I67" s="13" t="inlineStr">
        <is>
          <t>/in/samioudeh</t>
        </is>
      </c>
      <c r="J67" s="11" t="inlineStr">
        <is>
          <t>Lexington Kentucky</t>
        </is>
      </c>
      <c r="K67" s="11" t="inlineStr">
        <is>
          <t>+1 415-423-3445</t>
        </is>
      </c>
      <c r="L67" s="12" t="n">
        <v>3</v>
      </c>
      <c r="M67" s="11" t="inlineStr">
        <is>
          <t>60f21d3e152e7e0001ae1e2b</t>
        </is>
      </c>
    </row>
    <row r="68">
      <c r="A68" s="11" t="inlineStr">
        <is>
          <t>Compliance (national)</t>
        </is>
      </c>
      <c r="B68" s="11" t="inlineStr">
        <is>
          <t>Carrie Rinehart-Bekker</t>
        </is>
      </c>
      <c r="C68" s="11" t="inlineStr">
        <is>
          <t>Founder, CEO, and Managing Member</t>
        </is>
      </c>
      <c r="D68" s="11" t="inlineStr">
        <is>
          <t>Bekker Compliance  Consulting Partners, LLC</t>
        </is>
      </c>
      <c r="E68" s="12" t="n">
        <v>1</v>
      </c>
      <c r="F68" s="11" t="inlineStr">
        <is>
          <t>bccp-llc.com</t>
        </is>
      </c>
      <c r="G68" s="13" t="inlineStr">
        <is>
          <t>cbekker@bccp-llc.com</t>
        </is>
      </c>
      <c r="H68" s="14" t="inlineStr">
        <is>
          <t>verified</t>
        </is>
      </c>
      <c r="I68" s="13" t="inlineStr">
        <is>
          <t>/in/bekkercompliance</t>
        </is>
      </c>
      <c r="J68" s="11" t="inlineStr">
        <is>
          <t>Tampa Florida</t>
        </is>
      </c>
      <c r="K68" s="11" t="inlineStr">
        <is>
          <t>+1 818-836-1291</t>
        </is>
      </c>
      <c r="L68" s="12" t="n">
        <v>3</v>
      </c>
      <c r="M68" s="11" t="inlineStr">
        <is>
          <t>66f8e7ec8dcef000016881d8</t>
        </is>
      </c>
    </row>
    <row r="69">
      <c r="A69" s="11" t="inlineStr">
        <is>
          <t>Compliance (national)</t>
        </is>
      </c>
      <c r="B69" s="11" t="inlineStr">
        <is>
          <t>Dan Denton</t>
        </is>
      </c>
      <c r="C69" s="11" t="inlineStr">
        <is>
          <t>Owner</t>
        </is>
      </c>
      <c r="D69" s="11" t="inlineStr">
        <is>
          <t>Business Compliance Partners</t>
        </is>
      </c>
      <c r="E69" s="15" t="n">
        <v>2</v>
      </c>
      <c r="F69" s="11" t="inlineStr">
        <is>
          <t>bizcompliancepartners.com</t>
        </is>
      </c>
      <c r="G69" s="13" t="inlineStr">
        <is>
          <t>dan@bizcompliancepartners.com</t>
        </is>
      </c>
      <c r="H69" s="14" t="inlineStr">
        <is>
          <t>verified</t>
        </is>
      </c>
      <c r="I69" s="13" t="inlineStr">
        <is>
          <t>/in/dan-denton-742a021b</t>
        </is>
      </c>
      <c r="J69" s="11" t="inlineStr">
        <is>
          <t>Baltimore Maryland</t>
        </is>
      </c>
      <c r="K69" s="11" t="inlineStr">
        <is>
          <t>+1 888-538-6088</t>
        </is>
      </c>
      <c r="L69" s="12" t="n">
        <v>3</v>
      </c>
      <c r="M69" s="11" t="inlineStr">
        <is>
          <t>612b99204c92050001d08b87</t>
        </is>
      </c>
    </row>
    <row r="70">
      <c r="A70" s="11" t="inlineStr">
        <is>
          <t>Compliance (national)</t>
        </is>
      </c>
      <c r="B70" s="11" t="inlineStr">
        <is>
          <t>Paul Cox</t>
        </is>
      </c>
      <c r="C70" s="11" t="inlineStr">
        <is>
          <t>CEO</t>
        </is>
      </c>
      <c r="D70" s="11" t="inlineStr">
        <is>
          <t>Business Compliance Partners</t>
        </is>
      </c>
      <c r="E70" s="15" t="n">
        <v>2</v>
      </c>
      <c r="F70" s="11" t="inlineStr">
        <is>
          <t>bizcompliancepartners.com</t>
        </is>
      </c>
      <c r="G70" s="13" t="inlineStr">
        <is>
          <t>paul@bizcompliancepartners.com</t>
        </is>
      </c>
      <c r="H70" s="14" t="inlineStr">
        <is>
          <t>verified</t>
        </is>
      </c>
      <c r="I70" s="13" t="inlineStr">
        <is>
          <t>/in/paulcoxbcp</t>
        </is>
      </c>
      <c r="J70" s="11" t="inlineStr">
        <is>
          <t>San Diego California</t>
        </is>
      </c>
      <c r="K70" s="11" t="inlineStr">
        <is>
          <t>+1 888-538-6088</t>
        </is>
      </c>
      <c r="L70" s="12" t="n">
        <v>3</v>
      </c>
      <c r="M70" s="11" t="inlineStr">
        <is>
          <t>5b3d6221a6da98a0c267bc85</t>
        </is>
      </c>
    </row>
    <row r="71">
      <c r="A71" s="11" t="inlineStr">
        <is>
          <t>Compliance (national)</t>
        </is>
      </c>
      <c r="B71" s="11" t="inlineStr">
        <is>
          <t>Robert Williams</t>
        </is>
      </c>
      <c r="C71" s="11" t="inlineStr">
        <is>
          <t>President</t>
        </is>
      </c>
      <c r="D71" s="11" t="inlineStr">
        <is>
          <t>Cohasset Associates, Inc.</t>
        </is>
      </c>
      <c r="E71" s="15" t="n">
        <v>2</v>
      </c>
      <c r="F71" s="11" t="inlineStr">
        <is>
          <t>cohasset.com</t>
        </is>
      </c>
      <c r="G71" s="13" t="inlineStr">
        <is>
          <t>robert.williams@cohasset.com</t>
        </is>
      </c>
      <c r="H71" s="14" t="inlineStr">
        <is>
          <t>verified</t>
        </is>
      </c>
      <c r="I71" s="13" t="inlineStr">
        <is>
          <t>/in/robert-f-williams-6227311b</t>
        </is>
      </c>
      <c r="J71" s="11" t="inlineStr">
        <is>
          <t>Chicago Illinois</t>
        </is>
      </c>
      <c r="K71" s="11" t="inlineStr">
        <is>
          <t>+1 952-445-7225</t>
        </is>
      </c>
      <c r="L71" s="12" t="n">
        <v>4</v>
      </c>
      <c r="M71" s="11" t="inlineStr">
        <is>
          <t>54a2c4d57468693a7e6eb43b</t>
        </is>
      </c>
    </row>
    <row r="72">
      <c r="A72" s="11" t="inlineStr">
        <is>
          <t>Compliance (national)</t>
        </is>
      </c>
      <c r="B72" s="11" t="inlineStr">
        <is>
          <t>Teresa Drabenstadt</t>
        </is>
      </c>
      <c r="C72" s="11" t="inlineStr">
        <is>
          <t>Principal Consultant</t>
        </is>
      </c>
      <c r="D72" s="11" t="inlineStr">
        <is>
          <t>Cohasset Associates, Inc.</t>
        </is>
      </c>
      <c r="E72" s="15" t="n">
        <v>2</v>
      </c>
      <c r="F72" s="11" t="inlineStr">
        <is>
          <t>cohasset.com</t>
        </is>
      </c>
      <c r="G72" s="13" t="inlineStr">
        <is>
          <t>teresa.drabenstadt@cohasset.com</t>
        </is>
      </c>
      <c r="H72" s="14" t="inlineStr">
        <is>
          <t>verified</t>
        </is>
      </c>
      <c r="I72" s="13" t="inlineStr">
        <is>
          <t>/in/teresadrabenstadt</t>
        </is>
      </c>
      <c r="J72" s="11" t="inlineStr">
        <is>
          <t>Madison Wisconsin</t>
        </is>
      </c>
      <c r="K72" s="11" t="inlineStr">
        <is>
          <t>+1 952-445-7225</t>
        </is>
      </c>
      <c r="L72" s="12" t="n">
        <v>4</v>
      </c>
      <c r="M72" s="11" t="inlineStr">
        <is>
          <t>54a1271469702dc8418d0000</t>
        </is>
      </c>
    </row>
    <row r="73">
      <c r="A73" s="11" t="inlineStr">
        <is>
          <t>Compliance (national)</t>
        </is>
      </c>
      <c r="B73" s="11" t="inlineStr">
        <is>
          <t>Craig Neal</t>
        </is>
      </c>
      <c r="C73" s="11" t="inlineStr">
        <is>
          <t>Founder</t>
        </is>
      </c>
      <c r="D73" s="11" t="inlineStr">
        <is>
          <t>Compliance Admins LLC</t>
        </is>
      </c>
      <c r="E73" s="12" t="n">
        <v>1</v>
      </c>
      <c r="F73" s="11" t="inlineStr">
        <is>
          <t>complianceadmins.com</t>
        </is>
      </c>
      <c r="G73" s="13" t="inlineStr">
        <is>
          <t>craig.neal@complianceadmins.com</t>
        </is>
      </c>
      <c r="H73" s="14" t="inlineStr">
        <is>
          <t>verified</t>
        </is>
      </c>
      <c r="I73" s="13" t="inlineStr">
        <is>
          <t>/in/craigneal</t>
        </is>
      </c>
      <c r="J73" s="11" t="inlineStr">
        <is>
          <t>Northbrook Illinois</t>
        </is>
      </c>
      <c r="K73" s="11" t="inlineStr">
        <is>
          <t>+1 847-877-0365</t>
        </is>
      </c>
      <c r="L73" s="12" t="n">
        <v>3</v>
      </c>
      <c r="M73" s="11" t="inlineStr">
        <is>
          <t>66fcde8248b83f0001081d27</t>
        </is>
      </c>
    </row>
    <row r="74">
      <c r="A74" s="11" t="inlineStr">
        <is>
          <t>Compliance (national)</t>
        </is>
      </c>
      <c r="B74" s="11" t="inlineStr">
        <is>
          <t>Alvaro Pereyra</t>
        </is>
      </c>
      <c r="C74" s="11" t="inlineStr">
        <is>
          <t>Broker Dealer Chief Executive Officer</t>
        </is>
      </c>
      <c r="D74" s="11" t="inlineStr">
        <is>
          <t>Compliance Exchange Group (CXG)</t>
        </is>
      </c>
      <c r="E74" s="15" t="n">
        <v>2</v>
      </c>
      <c r="F74" s="11" t="inlineStr">
        <is>
          <t>cxgllc.com</t>
        </is>
      </c>
      <c r="G74" s="13" t="inlineStr">
        <is>
          <t>apereyra@cxgllc.com</t>
        </is>
      </c>
      <c r="H74" s="14" t="inlineStr">
        <is>
          <t>verified</t>
        </is>
      </c>
      <c r="I74" s="13" t="inlineStr">
        <is>
          <t>/in/alvaro-pereyra-7503a18</t>
        </is>
      </c>
      <c r="J74" s="11" t="inlineStr">
        <is>
          <t>New York New York</t>
        </is>
      </c>
      <c r="K74" s="11" t="inlineStr">
        <is>
          <t>+1 631-595-5305</t>
        </is>
      </c>
      <c r="L74" s="12" t="n">
        <v>3</v>
      </c>
      <c r="M74" s="11" t="inlineStr">
        <is>
          <t>66f42f2032ac2a00019fbb70</t>
        </is>
      </c>
    </row>
    <row r="75">
      <c r="A75" s="11" t="inlineStr">
        <is>
          <t>Compliance (national)</t>
        </is>
      </c>
      <c r="B75" s="11" t="inlineStr">
        <is>
          <t>Christopher Driscoll</t>
        </is>
      </c>
      <c r="C75" s="11" t="inlineStr">
        <is>
          <t>Executive, Founder</t>
        </is>
      </c>
      <c r="D75" s="11" t="inlineStr">
        <is>
          <t>Compliance Exchange Group (CXG)</t>
        </is>
      </c>
      <c r="E75" s="15" t="n">
        <v>2</v>
      </c>
      <c r="F75" s="11" t="inlineStr">
        <is>
          <t>cxgllc.com</t>
        </is>
      </c>
      <c r="G75" s="13" t="inlineStr">
        <is>
          <t>cdriscoll@cxgllc.com</t>
        </is>
      </c>
      <c r="H75" s="14" t="inlineStr">
        <is>
          <t>verified</t>
        </is>
      </c>
      <c r="I75" s="13" t="inlineStr">
        <is>
          <t>/in/christopher-driscoll-cxg</t>
        </is>
      </c>
      <c r="J75" s="11" t="inlineStr">
        <is>
          <t>Smithtown New York</t>
        </is>
      </c>
      <c r="K75" s="11" t="inlineStr">
        <is>
          <t>+1 631-595-5305</t>
        </is>
      </c>
      <c r="L75" s="12" t="n">
        <v>3</v>
      </c>
      <c r="M75" s="11" t="inlineStr">
        <is>
          <t>66ebe1a82d0d7800017cf778</t>
        </is>
      </c>
    </row>
    <row r="76">
      <c r="A76" s="11" t="inlineStr">
        <is>
          <t>Compliance (national)</t>
        </is>
      </c>
      <c r="B76" s="11" t="inlineStr">
        <is>
          <t>David Amster</t>
        </is>
      </c>
      <c r="C76" s="11" t="inlineStr">
        <is>
          <t>Managing Principal</t>
        </is>
      </c>
      <c r="D76" s="11" t="inlineStr">
        <is>
          <t>Compliance Risk Concepts (CRC​)</t>
        </is>
      </c>
      <c r="E76" s="15" t="n">
        <v>4</v>
      </c>
      <c r="F76" s="11" t="inlineStr">
        <is>
          <t>compliance-risk.com</t>
        </is>
      </c>
      <c r="G76" s="13" t="inlineStr">
        <is>
          <t>damster@compliance-risk.com</t>
        </is>
      </c>
      <c r="H76" s="14" t="inlineStr">
        <is>
          <t>verified</t>
        </is>
      </c>
      <c r="I76" s="13" t="inlineStr">
        <is>
          <t>/in/davidamster</t>
        </is>
      </c>
      <c r="J76" s="11" t="inlineStr">
        <is>
          <t>New York New York</t>
        </is>
      </c>
      <c r="K76" s="11" t="inlineStr">
        <is>
          <t>+1 646-346-2468</t>
        </is>
      </c>
      <c r="L76" s="12" t="n">
        <v>3</v>
      </c>
      <c r="M76" s="11" t="inlineStr">
        <is>
          <t>557091f87369644c318d3100</t>
        </is>
      </c>
    </row>
    <row r="77">
      <c r="A77" s="11" t="inlineStr">
        <is>
          <t>Compliance (national)</t>
        </is>
      </c>
      <c r="B77" s="11" t="inlineStr">
        <is>
          <t>Jaclyn Bowdren</t>
        </is>
      </c>
      <c r="C77" s="11" t="inlineStr">
        <is>
          <t>Managing Principal and Chief Operating Officer</t>
        </is>
      </c>
      <c r="D77" s="11" t="inlineStr">
        <is>
          <t>Compliance Risk Concepts (CRC​)</t>
        </is>
      </c>
      <c r="E77" s="15" t="n">
        <v>4</v>
      </c>
      <c r="F77" s="11" t="inlineStr">
        <is>
          <t>compliance-risk.com</t>
        </is>
      </c>
      <c r="G77" s="13" t="inlineStr">
        <is>
          <t>jbowdren@compliance-risk.com</t>
        </is>
      </c>
      <c r="H77" s="14" t="inlineStr">
        <is>
          <t>verified</t>
        </is>
      </c>
      <c r="I77" s="13" t="inlineStr">
        <is>
          <t>/in/jaclyn-bowdren-41608444</t>
        </is>
      </c>
      <c r="J77" s="11" t="inlineStr">
        <is>
          <t>New York New York</t>
        </is>
      </c>
      <c r="K77" s="11" t="inlineStr">
        <is>
          <t>+1 646-346-2468</t>
        </is>
      </c>
      <c r="L77" s="12" t="n">
        <v>3</v>
      </c>
      <c r="M77" s="11" t="inlineStr">
        <is>
          <t>66fbfdc44996b80001363908</t>
        </is>
      </c>
    </row>
    <row r="78">
      <c r="A78" s="11" t="inlineStr">
        <is>
          <t>Compliance (national)</t>
        </is>
      </c>
      <c r="B78" s="11" t="inlineStr">
        <is>
          <t>Mitch Avnet</t>
        </is>
      </c>
      <c r="C78" s="11" t="inlineStr">
        <is>
          <t>Managing Partner</t>
        </is>
      </c>
      <c r="D78" s="11" t="inlineStr">
        <is>
          <t>Compliance Risk Concepts (CRC​)</t>
        </is>
      </c>
      <c r="E78" s="15" t="n">
        <v>4</v>
      </c>
      <c r="F78" s="11" t="inlineStr">
        <is>
          <t>compliance-risk.com</t>
        </is>
      </c>
      <c r="G78" s="13" t="inlineStr">
        <is>
          <t>mavnet@compliance-risk.com</t>
        </is>
      </c>
      <c r="H78" s="14" t="inlineStr">
        <is>
          <t>verified</t>
        </is>
      </c>
      <c r="I78" s="13" t="inlineStr">
        <is>
          <t>/in/mitchavnet</t>
        </is>
      </c>
      <c r="J78" s="11" t="inlineStr">
        <is>
          <t>New York New York</t>
        </is>
      </c>
      <c r="K78" s="11" t="inlineStr">
        <is>
          <t>+1 646-346-2468</t>
        </is>
      </c>
      <c r="L78" s="12" t="n">
        <v>3</v>
      </c>
      <c r="M78" s="11" t="inlineStr">
        <is>
          <t>6093fa15871d9c000161159f</t>
        </is>
      </c>
    </row>
    <row r="79">
      <c r="A79" s="11" t="inlineStr">
        <is>
          <t>Compliance (national)</t>
        </is>
      </c>
      <c r="B79" s="11" t="inlineStr">
        <is>
          <t>Scott Brown</t>
        </is>
      </c>
      <c r="C79" s="11" t="inlineStr">
        <is>
          <t>Associate Director/Financial &amp; Operations Principal</t>
        </is>
      </c>
      <c r="D79" s="11" t="inlineStr">
        <is>
          <t>Compliance Risk Concepts (CRC​)</t>
        </is>
      </c>
      <c r="E79" s="15" t="n">
        <v>4</v>
      </c>
      <c r="F79" s="11" t="inlineStr">
        <is>
          <t>compliance-risk.com</t>
        </is>
      </c>
      <c r="G79" s="13" t="inlineStr">
        <is>
          <t>sbrown@compliance-risk.com</t>
        </is>
      </c>
      <c r="H79" s="14" t="inlineStr">
        <is>
          <t>verified</t>
        </is>
      </c>
      <c r="I79" s="13" t="inlineStr">
        <is>
          <t>/in/series27</t>
        </is>
      </c>
      <c r="J79" s="11" t="inlineStr">
        <is>
          <t>New York New York</t>
        </is>
      </c>
      <c r="K79" s="11" t="inlineStr">
        <is>
          <t>+1 646-346-2468</t>
        </is>
      </c>
      <c r="L79" s="12" t="n">
        <v>3</v>
      </c>
      <c r="M79" s="11" t="inlineStr">
        <is>
          <t>5eeea0fbd171f50001b57067</t>
        </is>
      </c>
    </row>
    <row r="80">
      <c r="A80" s="11" t="inlineStr">
        <is>
          <t>Compliance (national)</t>
        </is>
      </c>
      <c r="B80" s="11" t="inlineStr">
        <is>
          <t>Peter Guarino</t>
        </is>
      </c>
      <c r="C80" s="11" t="inlineStr">
        <is>
          <t>President / Chief Compliance Officer</t>
        </is>
      </c>
      <c r="D80" s="11" t="inlineStr">
        <is>
          <t>Compliance4</t>
        </is>
      </c>
      <c r="E80" s="12" t="n">
        <v>1</v>
      </c>
      <c r="F80" s="11" t="inlineStr">
        <is>
          <t>compliance4.com</t>
        </is>
      </c>
      <c r="G80" s="13" t="inlineStr">
        <is>
          <t>pguarino@compliance4.com</t>
        </is>
      </c>
      <c r="H80" s="14" t="inlineStr">
        <is>
          <t>verified</t>
        </is>
      </c>
      <c r="I80" s="13" t="inlineStr">
        <is>
          <t>/in/peterguarino</t>
        </is>
      </c>
      <c r="J80" s="11" t="inlineStr">
        <is>
          <t>Portland Maine</t>
        </is>
      </c>
      <c r="K80" s="11" t="inlineStr">
        <is>
          <t>+1 207-747-5934</t>
        </is>
      </c>
      <c r="L80" s="12" t="n">
        <v>4</v>
      </c>
      <c r="M80" s="11" t="inlineStr">
        <is>
          <t>57d43f40a6da9853a65dee8d</t>
        </is>
      </c>
    </row>
    <row r="81">
      <c r="A81" s="11" t="inlineStr">
        <is>
          <t>Compliance (national)</t>
        </is>
      </c>
      <c r="B81" s="11" t="inlineStr">
        <is>
          <t>Stacey Crcp</t>
        </is>
      </c>
      <c r="C81" s="11" t="inlineStr">
        <is>
          <t>Partner and Co-Founder</t>
        </is>
      </c>
      <c r="D81" s="11" t="inlineStr">
        <is>
          <t>Compliers Consulting Services, LLC</t>
        </is>
      </c>
      <c r="E81" s="15" t="n">
        <v>2</v>
      </c>
      <c r="F81" s="11" t="inlineStr">
        <is>
          <t>compliers.com</t>
        </is>
      </c>
      <c r="G81" s="13" t="inlineStr">
        <is>
          <t>stacey@compliers.com</t>
        </is>
      </c>
      <c r="H81" s="14" t="inlineStr">
        <is>
          <t>verified</t>
        </is>
      </c>
      <c r="I81" s="13" t="inlineStr">
        <is>
          <t>/in/stacey-lynn-lavender-crcp%c2%ae-a434172b</t>
        </is>
      </c>
      <c r="J81" s="11" t="inlineStr">
        <is>
          <t>Jurupa Valley California</t>
        </is>
      </c>
      <c r="K81" s="11" t="inlineStr">
        <is>
          <t>+1 917-345-2461</t>
        </is>
      </c>
      <c r="L81" s="12" t="n">
        <v>3</v>
      </c>
      <c r="M81" s="11" t="inlineStr">
        <is>
          <t>687889623dd4950001c3d90b</t>
        </is>
      </c>
    </row>
    <row r="82">
      <c r="A82" s="11" t="inlineStr">
        <is>
          <t>Compliance (national)</t>
        </is>
      </c>
      <c r="B82" s="11" t="inlineStr">
        <is>
          <t>Cathy Cucharale</t>
        </is>
      </c>
      <c r="C82" s="11" t="inlineStr">
        <is>
          <t>President</t>
        </is>
      </c>
      <c r="D82" s="11" t="inlineStr">
        <is>
          <t>Cucharale Consulting Group</t>
        </is>
      </c>
      <c r="E82" s="12" t="n">
        <v>1</v>
      </c>
      <c r="F82" s="11" t="inlineStr">
        <is>
          <t>cucharalegroup.com</t>
        </is>
      </c>
      <c r="G82" s="13" t="inlineStr">
        <is>
          <t>ccucharale@cucharalegroup.com</t>
        </is>
      </c>
      <c r="H82" s="14" t="inlineStr">
        <is>
          <t>verified</t>
        </is>
      </c>
      <c r="I82" s="13" t="inlineStr">
        <is>
          <t>/in/cathy-a-cucharale</t>
        </is>
      </c>
      <c r="J82" s="11" t="inlineStr">
        <is>
          <t>Rome New York</t>
        </is>
      </c>
      <c r="K82" s="11" t="inlineStr">
        <is>
          <t>+1 315-794-9863</t>
        </is>
      </c>
      <c r="L82" s="12" t="n">
        <v>4</v>
      </c>
      <c r="M82" s="11" t="inlineStr">
        <is>
          <t>66fb6bc5a8908c00018d0b9c</t>
        </is>
      </c>
    </row>
    <row r="83">
      <c r="A83" s="11" t="inlineStr">
        <is>
          <t>Compliance (national)</t>
        </is>
      </c>
      <c r="B83" s="11" t="inlineStr">
        <is>
          <t>Andy Armstrong</t>
        </is>
      </c>
      <c r="C83" s="11" t="inlineStr">
        <is>
          <t>Vice President and Compliance Officer</t>
        </is>
      </c>
      <c r="D83" s="11" t="inlineStr">
        <is>
          <t>Dinsmore Compliance Services</t>
        </is>
      </c>
      <c r="E83" s="15" t="n">
        <v>5</v>
      </c>
      <c r="F83" s="11" t="inlineStr">
        <is>
          <t>dinsmorecomplianceservices.com</t>
        </is>
      </c>
      <c r="G83" s="13" t="inlineStr">
        <is>
          <t>andrew.armstrong@dinsmorecomplianceservices.com</t>
        </is>
      </c>
      <c r="H83" s="14" t="inlineStr">
        <is>
          <t>verified</t>
        </is>
      </c>
      <c r="I83" s="13" t="inlineStr">
        <is>
          <t>/in/andy-armstrong-51745338</t>
        </is>
      </c>
      <c r="J83" s="11" t="inlineStr">
        <is>
          <t>Union Kentucky</t>
        </is>
      </c>
      <c r="K83" s="11" t="inlineStr">
        <is>
          <t>+1 513-977-8646</t>
        </is>
      </c>
      <c r="L83" s="12" t="n">
        <v>4</v>
      </c>
      <c r="M83" s="11" t="inlineStr">
        <is>
          <t>66f5490fe6a57100018e9989</t>
        </is>
      </c>
    </row>
    <row r="84">
      <c r="A84" s="11" t="inlineStr">
        <is>
          <t>Compliance (national)</t>
        </is>
      </c>
      <c r="B84" s="11" t="inlineStr">
        <is>
          <t>Andy Warning</t>
        </is>
      </c>
      <c r="C84" s="11" t="inlineStr">
        <is>
          <t>Vice President and Compliance Officer</t>
        </is>
      </c>
      <c r="D84" s="11" t="inlineStr">
        <is>
          <t>Dinsmore Compliance Services</t>
        </is>
      </c>
      <c r="E84" s="15" t="n">
        <v>5</v>
      </c>
      <c r="F84" s="11" t="inlineStr">
        <is>
          <t>dinsmorecomplianceservices.com</t>
        </is>
      </c>
      <c r="G84" s="13" t="inlineStr">
        <is>
          <t>andy.warning@dinsmorecomplianceservices.com</t>
        </is>
      </c>
      <c r="H84" s="14" t="inlineStr">
        <is>
          <t>verified</t>
        </is>
      </c>
      <c r="I84" s="13" t="inlineStr">
        <is>
          <t>/in/andy-warning-23322249</t>
        </is>
      </c>
      <c r="J84" s="11" t="inlineStr">
        <is>
          <t>Cincinnati Ohio</t>
        </is>
      </c>
      <c r="K84" s="11" t="inlineStr">
        <is>
          <t>+1 513-977-8646</t>
        </is>
      </c>
      <c r="L84" s="12" t="n">
        <v>4</v>
      </c>
      <c r="M84" s="11" t="inlineStr">
        <is>
          <t>66fc1b343aad910001977f4e</t>
        </is>
      </c>
    </row>
    <row r="85">
      <c r="A85" s="11" t="inlineStr">
        <is>
          <t>Compliance (national)</t>
        </is>
      </c>
      <c r="B85" s="11" t="inlineStr">
        <is>
          <t>Dennis Dockins</t>
        </is>
      </c>
      <c r="C85" s="11" t="inlineStr">
        <is>
          <t>Vice President, Compliance Officer</t>
        </is>
      </c>
      <c r="D85" s="11" t="inlineStr">
        <is>
          <t>Dinsmore Compliance Services</t>
        </is>
      </c>
      <c r="E85" s="15" t="n">
        <v>5</v>
      </c>
      <c r="F85" s="11" t="inlineStr">
        <is>
          <t>dinsmorecomplianceservices.com</t>
        </is>
      </c>
      <c r="G85" s="13" t="inlineStr">
        <is>
          <t>dennis.dockins@dinsmorecomplianceservices.com</t>
        </is>
      </c>
      <c r="H85" s="14" t="inlineStr">
        <is>
          <t>verified</t>
        </is>
      </c>
      <c r="I85" s="13" t="inlineStr">
        <is>
          <t>/in/dennis-dockins-5b82671</t>
        </is>
      </c>
      <c r="J85" s="11" t="inlineStr">
        <is>
          <t>Dayton Ohio</t>
        </is>
      </c>
      <c r="K85" s="11" t="inlineStr">
        <is>
          <t>+1 513-977-8646</t>
        </is>
      </c>
      <c r="L85" s="12" t="n">
        <v>4</v>
      </c>
      <c r="M85" s="11" t="inlineStr">
        <is>
          <t>66f942ee83ba0c0001437b0d</t>
        </is>
      </c>
    </row>
    <row r="86">
      <c r="A86" s="11" t="inlineStr">
        <is>
          <t>Compliance (national)</t>
        </is>
      </c>
      <c r="B86" s="11" t="inlineStr">
        <is>
          <t>James Hadaway</t>
        </is>
      </c>
      <c r="C86" s="11" t="inlineStr">
        <is>
          <t>Vice President and Compliance Officer</t>
        </is>
      </c>
      <c r="D86" s="11" t="inlineStr">
        <is>
          <t>Dinsmore Compliance Services</t>
        </is>
      </c>
      <c r="E86" s="15" t="n">
        <v>5</v>
      </c>
      <c r="F86" s="11" t="inlineStr">
        <is>
          <t>dinsmorecomplianceservices.com</t>
        </is>
      </c>
      <c r="G86" s="13" t="inlineStr">
        <is>
          <t>james.hadaway@dinsmorecomplianceservices.com</t>
        </is>
      </c>
      <c r="H86" s="14" t="inlineStr">
        <is>
          <t>verified</t>
        </is>
      </c>
      <c r="I86" s="13" t="inlineStr">
        <is>
          <t>/in/james-hadaway-a2574912</t>
        </is>
      </c>
      <c r="J86" s="11" t="inlineStr">
        <is>
          <t>Cincinnati Ohio</t>
        </is>
      </c>
      <c r="K86" s="11" t="inlineStr">
        <is>
          <t>+1 513-977-8646</t>
        </is>
      </c>
      <c r="L86" s="12" t="n">
        <v>4</v>
      </c>
      <c r="M86" s="11" t="inlineStr">
        <is>
          <t>66f61abb2e45b800015f5cc1</t>
        </is>
      </c>
    </row>
    <row r="87">
      <c r="A87" s="11" t="inlineStr">
        <is>
          <t>Compliance (national)</t>
        </is>
      </c>
      <c r="B87" s="11" t="inlineStr">
        <is>
          <t>Jeff Chapman</t>
        </is>
      </c>
      <c r="C87" s="11" t="inlineStr">
        <is>
          <t>Founding Partner, Executive Vice President,</t>
        </is>
      </c>
      <c r="D87" s="11" t="inlineStr">
        <is>
          <t>Dinsmore Compliance Services</t>
        </is>
      </c>
      <c r="E87" s="15" t="n">
        <v>5</v>
      </c>
      <c r="F87" s="11" t="inlineStr">
        <is>
          <t>dinsmorecomplianceservices.com</t>
        </is>
      </c>
      <c r="G87" s="13" t="inlineStr">
        <is>
          <t>jeff.chapman@dinsmorecomplianceservices.com</t>
        </is>
      </c>
      <c r="H87" s="14" t="inlineStr">
        <is>
          <t>verified</t>
        </is>
      </c>
      <c r="I87" s="13" t="inlineStr">
        <is>
          <t>/in/jeffchapman2</t>
        </is>
      </c>
      <c r="J87" s="11" t="inlineStr">
        <is>
          <t>Cincinnati Ohio</t>
        </is>
      </c>
      <c r="K87" s="11" t="inlineStr">
        <is>
          <t>+1 513-977-8646</t>
        </is>
      </c>
      <c r="L87" s="12" t="n">
        <v>4</v>
      </c>
      <c r="M87" s="11" t="inlineStr">
        <is>
          <t>54a6196f74686938ac4a17c2</t>
        </is>
      </c>
    </row>
    <row r="88">
      <c r="A88" s="11" t="inlineStr">
        <is>
          <t>Compliance (national)</t>
        </is>
      </c>
      <c r="B88" s="11" t="inlineStr">
        <is>
          <t>Lance Mackenzie</t>
        </is>
      </c>
      <c r="C88" s="11" t="inlineStr">
        <is>
          <t>President</t>
        </is>
      </c>
      <c r="D88" s="11" t="inlineStr">
        <is>
          <t>eAdvisor Compliance</t>
        </is>
      </c>
      <c r="E88" s="12" t="n">
        <v>1</v>
      </c>
      <c r="F88" s="11" t="inlineStr">
        <is>
          <t>eadvisorcompliance.com</t>
        </is>
      </c>
      <c r="G88" s="13" t="inlineStr">
        <is>
          <t>lance@eadvisorcompliance.com</t>
        </is>
      </c>
      <c r="H88" s="14" t="inlineStr">
        <is>
          <t>verified</t>
        </is>
      </c>
      <c r="I88" s="13" t="inlineStr">
        <is>
          <t>/in/lancemackenzie</t>
        </is>
      </c>
      <c r="J88" s="11" t="inlineStr">
        <is>
          <t>Gainesville Florida</t>
        </is>
      </c>
      <c r="K88" s="11" t="inlineStr">
        <is>
          <t>+1 352-331-1100</t>
        </is>
      </c>
      <c r="L88" s="12" t="n">
        <v>4</v>
      </c>
      <c r="M88" s="11" t="inlineStr">
        <is>
          <t>66f5e8e6adcaf40001493d38</t>
        </is>
      </c>
    </row>
    <row r="89">
      <c r="A89" s="11" t="inlineStr">
        <is>
          <t>Compliance (national)</t>
        </is>
      </c>
      <c r="B89" s="11" t="inlineStr">
        <is>
          <t>Todd Spillane</t>
        </is>
      </c>
      <c r="C89" s="11" t="inlineStr">
        <is>
          <t>President</t>
        </is>
      </c>
      <c r="D89" s="11" t="inlineStr">
        <is>
          <t>Essential Edge Compliance Outsourcing Services, LLC</t>
        </is>
      </c>
      <c r="E89" s="12" t="n">
        <v>1</v>
      </c>
      <c r="F89" s="11" t="inlineStr">
        <is>
          <t>eeoutsourcing.com</t>
        </is>
      </c>
      <c r="G89" s="13" t="inlineStr">
        <is>
          <t>todd@eefirms.com</t>
        </is>
      </c>
      <c r="H89" s="14" t="inlineStr">
        <is>
          <t>verified</t>
        </is>
      </c>
      <c r="I89" s="13" t="inlineStr">
        <is>
          <t>/in/todd-spillane-336a373</t>
        </is>
      </c>
      <c r="J89" s="11" t="inlineStr">
        <is>
          <t>Spring Texas</t>
        </is>
      </c>
      <c r="K89" s="11" t="inlineStr">
        <is>
          <t>+1 646-981-8034</t>
        </is>
      </c>
      <c r="L89" s="12" t="n">
        <v>3</v>
      </c>
      <c r="M89" s="11" t="inlineStr">
        <is>
          <t>5ffa010682107100015e01f0</t>
        </is>
      </c>
    </row>
    <row r="90">
      <c r="A90" s="11" t="inlineStr">
        <is>
          <t>Compliance (national)</t>
        </is>
      </c>
      <c r="B90" s="11" t="inlineStr">
        <is>
          <t>Neil Reithinger</t>
        </is>
      </c>
      <c r="C90" s="11" t="inlineStr">
        <is>
          <t>President</t>
        </is>
      </c>
      <c r="D90" s="11" t="inlineStr">
        <is>
          <t>Eventus Advisory Group, LLC</t>
        </is>
      </c>
      <c r="E90" s="12" t="n">
        <v>1</v>
      </c>
      <c r="F90" s="11" t="inlineStr">
        <is>
          <t>eventusag.com</t>
        </is>
      </c>
      <c r="G90" s="13" t="inlineStr">
        <is>
          <t>nreithinger@eventusag.com</t>
        </is>
      </c>
      <c r="H90" s="14" t="inlineStr">
        <is>
          <t>verified</t>
        </is>
      </c>
      <c r="I90" s="13" t="inlineStr">
        <is>
          <t>/in/neil-reithinger-2849833</t>
        </is>
      </c>
      <c r="J90" s="11" t="inlineStr">
        <is>
          <t>Scottsdale Arizona</t>
        </is>
      </c>
      <c r="K90" s="11" t="inlineStr">
        <is>
          <t>+1 480-659-6404</t>
        </is>
      </c>
      <c r="L90" s="12" t="n">
        <v>4</v>
      </c>
      <c r="M90" s="11" t="inlineStr">
        <is>
          <t>66ec80e5ab9e6c0001bf682e</t>
        </is>
      </c>
    </row>
    <row r="91">
      <c r="A91" s="11" t="inlineStr">
        <is>
          <t>Compliance (national)</t>
        </is>
      </c>
      <c r="B91" s="11" t="inlineStr">
        <is>
          <t>Ellen Harvin</t>
        </is>
      </c>
      <c r="C91" s="11" t="inlineStr">
        <is>
          <t>Chief Executive Officer, Fairview® Compliance Administration</t>
        </is>
      </c>
      <c r="D91" s="11" t="inlineStr">
        <is>
          <t>Fairview LLC</t>
        </is>
      </c>
      <c r="E91" s="15" t="n">
        <v>3</v>
      </c>
      <c r="F91" s="11" t="inlineStr">
        <is>
          <t>fairviewinvest.com</t>
        </is>
      </c>
      <c r="G91" s="13" t="inlineStr">
        <is>
          <t>ellen.harvin@fairviewinvest.com</t>
        </is>
      </c>
      <c r="H91" s="14" t="inlineStr">
        <is>
          <t>verified</t>
        </is>
      </c>
      <c r="I91" s="13" t="inlineStr">
        <is>
          <t>/in/ellen-harvin-838a264b</t>
        </is>
      </c>
      <c r="J91" s="11" t="inlineStr">
        <is>
          <t>Raleigh North Carolina</t>
        </is>
      </c>
      <c r="K91" s="11" t="inlineStr">
        <is>
          <t>+1 919-706-4100</t>
        </is>
      </c>
      <c r="L91" s="12" t="n">
        <v>3</v>
      </c>
      <c r="M91" s="11" t="inlineStr">
        <is>
          <t>66faf5f9aa1b6c00017fcbf5</t>
        </is>
      </c>
    </row>
    <row r="92">
      <c r="A92" s="11" t="inlineStr">
        <is>
          <t>Compliance (national)</t>
        </is>
      </c>
      <c r="B92" s="11" t="inlineStr">
        <is>
          <t>John Marriott</t>
        </is>
      </c>
      <c r="C92" s="11" t="inlineStr">
        <is>
          <t>President</t>
        </is>
      </c>
      <c r="D92" s="11" t="inlineStr">
        <is>
          <t>Fairview LLC</t>
        </is>
      </c>
      <c r="E92" s="15" t="n">
        <v>3</v>
      </c>
      <c r="F92" s="11" t="inlineStr">
        <is>
          <t>fairviewinvest.com</t>
        </is>
      </c>
      <c r="G92" s="13" t="inlineStr">
        <is>
          <t>john.marriott@fairviewinvest.com</t>
        </is>
      </c>
      <c r="H92" s="14" t="inlineStr">
        <is>
          <t>verified</t>
        </is>
      </c>
      <c r="I92" s="13" t="inlineStr">
        <is>
          <t>/in/john-marriott-12b68b9</t>
        </is>
      </c>
      <c r="J92" s="11" t="inlineStr">
        <is>
          <t>Cary North Carolina</t>
        </is>
      </c>
      <c r="K92" s="11" t="inlineStr">
        <is>
          <t>+1 919-706-4100</t>
        </is>
      </c>
      <c r="L92" s="12" t="n">
        <v>3</v>
      </c>
      <c r="M92" s="11" t="inlineStr">
        <is>
          <t>66f5c2f12cb10200016d1cac</t>
        </is>
      </c>
    </row>
    <row r="93">
      <c r="A93" s="11" t="inlineStr">
        <is>
          <t>Compliance (national)</t>
        </is>
      </c>
      <c r="B93" s="11" t="inlineStr">
        <is>
          <t>Tracey Winters</t>
        </is>
      </c>
      <c r="C93" s="11" t="inlineStr">
        <is>
          <t>President</t>
        </is>
      </c>
      <c r="D93" s="11" t="inlineStr">
        <is>
          <t>Fairview LLC</t>
        </is>
      </c>
      <c r="E93" s="15" t="n">
        <v>3</v>
      </c>
      <c r="F93" s="11" t="inlineStr">
        <is>
          <t>fairviewinvest.com</t>
        </is>
      </c>
      <c r="G93" s="13" t="inlineStr">
        <is>
          <t>tracey.winters@fairviewinvest.com</t>
        </is>
      </c>
      <c r="H93" s="14" t="inlineStr">
        <is>
          <t>verified</t>
        </is>
      </c>
      <c r="I93" s="13" t="inlineStr">
        <is>
          <t>/in/tracey-hendricks-winters-5239795</t>
        </is>
      </c>
      <c r="J93" s="11" t="inlineStr">
        <is>
          <t>Rocky Mount North Carolina</t>
        </is>
      </c>
      <c r="K93" s="11" t="inlineStr">
        <is>
          <t>+1 919-706-4100</t>
        </is>
      </c>
      <c r="L93" s="12" t="n">
        <v>3</v>
      </c>
      <c r="M93" s="11" t="inlineStr">
        <is>
          <t>672da20164b2a80001c16485</t>
        </is>
      </c>
    </row>
    <row r="94">
      <c r="A94" s="11" t="inlineStr">
        <is>
          <t>Compliance (national)</t>
        </is>
      </c>
      <c r="B94" s="11" t="inlineStr">
        <is>
          <t>Scott Homuth</t>
        </is>
      </c>
      <c r="C94" s="11" t="inlineStr">
        <is>
          <t>SVP / Regulatory &amp; Compliance Practice Lead</t>
        </is>
      </c>
      <c r="D94" s="11" t="inlineStr">
        <is>
          <t>FITS Consulting</t>
        </is>
      </c>
      <c r="E94" s="12" t="n">
        <v>1</v>
      </c>
      <c r="F94" s="11" t="inlineStr">
        <is>
          <t>fitsconsulting.com</t>
        </is>
      </c>
      <c r="G94" s="13" t="inlineStr">
        <is>
          <t>shomuth@fitsconsulting.com</t>
        </is>
      </c>
      <c r="H94" s="14" t="inlineStr">
        <is>
          <t>verified</t>
        </is>
      </c>
      <c r="I94" s="13" t="inlineStr">
        <is>
          <t>/in/smhomuth</t>
        </is>
      </c>
      <c r="J94" s="11" t="inlineStr">
        <is>
          <t>Charlotte North Carolina</t>
        </is>
      </c>
      <c r="K94" s="11" t="inlineStr">
        <is>
          <t>+1 973-586-8877</t>
        </is>
      </c>
      <c r="L94" s="12" t="n">
        <v>4</v>
      </c>
      <c r="M94" s="11" t="inlineStr">
        <is>
          <t>57d41e17a6da98536ed77b1d</t>
        </is>
      </c>
    </row>
    <row r="95">
      <c r="A95" s="11" t="inlineStr">
        <is>
          <t>Compliance (national)</t>
        </is>
      </c>
      <c r="B95" s="11" t="inlineStr">
        <is>
          <t>Chip Arvantides</t>
        </is>
      </c>
      <c r="C95" s="11" t="inlineStr">
        <is>
          <t>Executive Vice President</t>
        </is>
      </c>
      <c r="D95" s="11" t="inlineStr">
        <is>
          <t>FrontLine Compliance</t>
        </is>
      </c>
      <c r="E95" s="12" t="n">
        <v>1</v>
      </c>
      <c r="F95" s="11" t="inlineStr">
        <is>
          <t>frontlinecompliance.com</t>
        </is>
      </c>
      <c r="G95" s="11" t="inlineStr"/>
      <c r="H95" s="16" t="inlineStr">
        <is>
          <t>unavailable</t>
        </is>
      </c>
      <c r="I95" s="13" t="inlineStr">
        <is>
          <t>/in/chip-arvantides-3a61098</t>
        </is>
      </c>
      <c r="J95" s="11" t="inlineStr">
        <is>
          <t>Rockville Maryland</t>
        </is>
      </c>
      <c r="K95" s="11" t="inlineStr">
        <is>
          <t>+1 888-518-8070</t>
        </is>
      </c>
      <c r="L95" s="12" t="n">
        <v>4</v>
      </c>
      <c r="M95" s="11" t="inlineStr">
        <is>
          <t>66f885db1cc13a0001e8fd7e</t>
        </is>
      </c>
    </row>
    <row r="96">
      <c r="A96" s="11" t="inlineStr">
        <is>
          <t>Compliance (national)</t>
        </is>
      </c>
      <c r="B96" s="11" t="inlineStr">
        <is>
          <t>Amy Jones</t>
        </is>
      </c>
      <c r="C96" s="11" t="inlineStr">
        <is>
          <t>Founder, Principal</t>
        </is>
      </c>
      <c r="D96" s="11" t="inlineStr">
        <is>
          <t>Guardian Performance Solutions LLC</t>
        </is>
      </c>
      <c r="E96" s="15" t="n">
        <v>2</v>
      </c>
      <c r="F96" s="11" t="inlineStr">
        <is>
          <t>guardianperformancesolutions.com</t>
        </is>
      </c>
      <c r="G96" s="13" t="inlineStr">
        <is>
          <t>amy@compliantperformance.com</t>
        </is>
      </c>
      <c r="H96" s="14" t="inlineStr">
        <is>
          <t>verified</t>
        </is>
      </c>
      <c r="I96" s="13" t="inlineStr">
        <is>
          <t>/in/amyjonescipm</t>
        </is>
      </c>
      <c r="J96" s="11" t="inlineStr">
        <is>
          <t>Seattle Washington</t>
        </is>
      </c>
      <c r="K96" s="11" t="inlineStr">
        <is>
          <t>+1 206-456-2464</t>
        </is>
      </c>
      <c r="L96" s="12" t="n">
        <v>3</v>
      </c>
      <c r="M96" s="11" t="inlineStr">
        <is>
          <t>54a21bf374686930c2af550d</t>
        </is>
      </c>
    </row>
    <row r="97">
      <c r="A97" s="11" t="inlineStr">
        <is>
          <t>Compliance (national)</t>
        </is>
      </c>
      <c r="B97" s="11" t="inlineStr">
        <is>
          <t>Arin Stancil</t>
        </is>
      </c>
      <c r="C97" s="11" t="inlineStr">
        <is>
          <t>Managing Director, Principal</t>
        </is>
      </c>
      <c r="D97" s="11" t="inlineStr">
        <is>
          <t>Guardian Performance Solutions LLC</t>
        </is>
      </c>
      <c r="E97" s="15" t="n">
        <v>2</v>
      </c>
      <c r="F97" s="11" t="inlineStr">
        <is>
          <t>guardianperformancesolutions.com</t>
        </is>
      </c>
      <c r="G97" s="13" t="inlineStr">
        <is>
          <t>arin@compliantperformance.com</t>
        </is>
      </c>
      <c r="H97" s="14" t="inlineStr">
        <is>
          <t>verified</t>
        </is>
      </c>
      <c r="I97" s="13" t="inlineStr">
        <is>
          <t>/in/arin-stancil-cfa-cipm-37b16911</t>
        </is>
      </c>
      <c r="J97" s="11" t="inlineStr">
        <is>
          <t>Seattle Washington</t>
        </is>
      </c>
      <c r="K97" s="11" t="inlineStr">
        <is>
          <t>+1 206-456-2464</t>
        </is>
      </c>
      <c r="L97" s="12" t="n">
        <v>4</v>
      </c>
      <c r="M97" s="11" t="inlineStr">
        <is>
          <t>54a62ec67468693676f56dc8</t>
        </is>
      </c>
    </row>
    <row r="98">
      <c r="A98" s="11" t="inlineStr">
        <is>
          <t>Compliance (national)</t>
        </is>
      </c>
      <c r="B98" s="11" t="inlineStr">
        <is>
          <t>Stacie Craddock</t>
        </is>
      </c>
      <c r="C98" s="11" t="inlineStr">
        <is>
          <t>Founder &amp; Senior Principal Consultant</t>
        </is>
      </c>
      <c r="D98" s="11" t="inlineStr">
        <is>
          <t>Integrated Compliance Advisors, Ltd.</t>
        </is>
      </c>
      <c r="E98" s="12" t="n">
        <v>1</v>
      </c>
      <c r="F98" s="11" t="inlineStr">
        <is>
          <t>integrated-compliance.com</t>
        </is>
      </c>
      <c r="G98" s="13" t="inlineStr">
        <is>
          <t>stacie@integrated-compliance.com</t>
        </is>
      </c>
      <c r="H98" s="14" t="inlineStr">
        <is>
          <t>verified</t>
        </is>
      </c>
      <c r="I98" s="13" t="inlineStr">
        <is>
          <t>/in/stacie-craddock-17124298</t>
        </is>
      </c>
      <c r="J98" s="11" t="inlineStr">
        <is>
          <t>Boulder Colorado</t>
        </is>
      </c>
      <c r="K98" s="11" t="inlineStr">
        <is>
          <t>+1 720-759-3535</t>
        </is>
      </c>
      <c r="L98" s="12" t="n">
        <v>3</v>
      </c>
      <c r="M98" s="11" t="inlineStr">
        <is>
          <t>5efe0f1f1d1a3b00beb0b9bc</t>
        </is>
      </c>
    </row>
    <row r="99">
      <c r="A99" s="11" t="inlineStr">
        <is>
          <t>Compliance (national)</t>
        </is>
      </c>
      <c r="B99" s="11" t="inlineStr">
        <is>
          <t>David Millar</t>
        </is>
      </c>
      <c r="C99" s="11" t="inlineStr">
        <is>
          <t>Owner: RIA Registration and Consulting Company</t>
        </is>
      </c>
      <c r="D99" s="11" t="inlineStr">
        <is>
          <t>Integrity Compliance Consulting, Inc.</t>
        </is>
      </c>
      <c r="E99" s="12" t="n">
        <v>1</v>
      </c>
      <c r="F99" s="11" t="inlineStr">
        <is>
          <t>riamadeeasy.com</t>
        </is>
      </c>
      <c r="G99" s="13" t="inlineStr">
        <is>
          <t>dmillar@integrity2c.com</t>
        </is>
      </c>
      <c r="H99" s="14" t="inlineStr">
        <is>
          <t>verified</t>
        </is>
      </c>
      <c r="I99" s="13" t="inlineStr">
        <is>
          <t>/in/millardavidr</t>
        </is>
      </c>
      <c r="J99" s="11" t="inlineStr">
        <is>
          <t>Grand Rapids Michigan</t>
        </is>
      </c>
      <c r="K99" s="11" t="inlineStr">
        <is>
          <t>+1 616-855-5560</t>
        </is>
      </c>
      <c r="L99" s="12" t="n">
        <v>4</v>
      </c>
      <c r="M99" s="11" t="inlineStr">
        <is>
          <t>54a79ff07468696de7f86146</t>
        </is>
      </c>
    </row>
    <row r="100">
      <c r="A100" s="11" t="inlineStr">
        <is>
          <t>Compliance (national)</t>
        </is>
      </c>
      <c r="B100" s="11" t="inlineStr">
        <is>
          <t>Beverly Fetcko</t>
        </is>
      </c>
      <c r="C100" s="11" t="inlineStr">
        <is>
          <t>Vice President</t>
        </is>
      </c>
      <c r="D100" s="11" t="inlineStr">
        <is>
          <t>NCS Regulatory Compliance (now part of Foreside)</t>
        </is>
      </c>
      <c r="E100" s="12" t="n">
        <v>1</v>
      </c>
      <c r="F100" s="11" t="inlineStr">
        <is>
          <t>foreside.com</t>
        </is>
      </c>
      <c r="G100" s="11" t="inlineStr"/>
      <c r="H100" s="16" t="inlineStr">
        <is>
          <t>unavailable</t>
        </is>
      </c>
      <c r="I100" s="13" t="inlineStr">
        <is>
          <t>/in/beverlyfetcko</t>
        </is>
      </c>
      <c r="J100" s="11" t="inlineStr">
        <is>
          <t>Fort Wayne Indiana</t>
        </is>
      </c>
      <c r="K100" s="11" t="inlineStr">
        <is>
          <t>+1 484-320-6239</t>
        </is>
      </c>
      <c r="L100" s="12" t="n">
        <v>3</v>
      </c>
      <c r="M100" s="11" t="inlineStr">
        <is>
          <t>65fa7cdb1cb67f00064d0a22</t>
        </is>
      </c>
    </row>
    <row r="101">
      <c r="A101" s="11" t="inlineStr">
        <is>
          <t>Compliance (national)</t>
        </is>
      </c>
      <c r="B101" s="11" t="inlineStr">
        <is>
          <t>Anthony Visone</t>
        </is>
      </c>
      <c r="C101" s="11" t="inlineStr">
        <is>
          <t>Principal</t>
        </is>
      </c>
      <c r="D101" s="11" t="inlineStr">
        <is>
          <t>Optima Partners</t>
        </is>
      </c>
      <c r="E101" s="15" t="n">
        <v>5</v>
      </c>
      <c r="F101" s="11" t="inlineStr">
        <is>
          <t>optima-partners.com</t>
        </is>
      </c>
      <c r="G101" s="13" t="inlineStr">
        <is>
          <t>anthony.visone@optima-partners.com</t>
        </is>
      </c>
      <c r="H101" s="14" t="inlineStr">
        <is>
          <t>verified</t>
        </is>
      </c>
      <c r="I101" s="13" t="inlineStr">
        <is>
          <t>/in/anthony-visone-337449b0</t>
        </is>
      </c>
      <c r="J101" s="11" t="inlineStr">
        <is>
          <t>New York New York</t>
        </is>
      </c>
      <c r="K101" s="11" t="inlineStr">
        <is>
          <t>+1 646-205-6380</t>
        </is>
      </c>
      <c r="L101" s="12" t="n">
        <v>3</v>
      </c>
      <c r="M101" s="11" t="inlineStr">
        <is>
          <t>54eb326574686931e2b96c0b</t>
        </is>
      </c>
    </row>
    <row r="102">
      <c r="A102" s="11" t="inlineStr">
        <is>
          <t>Compliance (national)</t>
        </is>
      </c>
      <c r="B102" s="11" t="inlineStr">
        <is>
          <t>Beata Valouktzis</t>
        </is>
      </c>
      <c r="C102" s="11" t="inlineStr">
        <is>
          <t>Principal</t>
        </is>
      </c>
      <c r="D102" s="11" t="inlineStr">
        <is>
          <t>Optima Partners</t>
        </is>
      </c>
      <c r="E102" s="15" t="n">
        <v>5</v>
      </c>
      <c r="F102" s="11" t="inlineStr">
        <is>
          <t>optima-partners.com</t>
        </is>
      </c>
      <c r="G102" s="13" t="inlineStr">
        <is>
          <t>betty.valouktzis@optima-partners.com</t>
        </is>
      </c>
      <c r="H102" s="14" t="inlineStr">
        <is>
          <t>verified</t>
        </is>
      </c>
      <c r="I102" s="13" t="inlineStr">
        <is>
          <t>/in/beata-betty-valouktzis-6b982516</t>
        </is>
      </c>
      <c r="J102" s="11" t="inlineStr">
        <is>
          <t>New York New York</t>
        </is>
      </c>
      <c r="K102" s="11" t="inlineStr">
        <is>
          <t>+1 646-205-6380</t>
        </is>
      </c>
      <c r="L102" s="12" t="n">
        <v>3</v>
      </c>
      <c r="M102" s="11" t="inlineStr">
        <is>
          <t>54a4ff5c7468692cf02b8374</t>
        </is>
      </c>
    </row>
    <row r="103">
      <c r="A103" s="11" t="inlineStr">
        <is>
          <t>Compliance (national)</t>
        </is>
      </c>
      <c r="B103" s="11" t="inlineStr">
        <is>
          <t>Sara McLean</t>
        </is>
      </c>
      <c r="C103" s="11" t="inlineStr">
        <is>
          <t>VP of Business Development - Cybersecurity</t>
        </is>
      </c>
      <c r="D103" s="11" t="inlineStr">
        <is>
          <t>Optima Partners</t>
        </is>
      </c>
      <c r="E103" s="15" t="n">
        <v>5</v>
      </c>
      <c r="F103" s="11" t="inlineStr">
        <is>
          <t>optima-partners.com</t>
        </is>
      </c>
      <c r="G103" s="13" t="inlineStr">
        <is>
          <t>sara.mclean@optima-partners.com</t>
        </is>
      </c>
      <c r="H103" s="14" t="inlineStr">
        <is>
          <t>verified</t>
        </is>
      </c>
      <c r="I103" s="13" t="inlineStr">
        <is>
          <t>/in/sara-mclean-38b336bb</t>
        </is>
      </c>
      <c r="J103" s="11" t="inlineStr">
        <is>
          <t>Denver Colorado</t>
        </is>
      </c>
      <c r="K103" s="11" t="inlineStr">
        <is>
          <t>+1 646-205-6380</t>
        </is>
      </c>
      <c r="L103" s="12" t="n">
        <v>3</v>
      </c>
      <c r="M103" s="11" t="inlineStr">
        <is>
          <t>5c49a694a3ae61116dc08950</t>
        </is>
      </c>
    </row>
    <row r="104">
      <c r="A104" s="11" t="inlineStr">
        <is>
          <t>Compliance (national)</t>
        </is>
      </c>
      <c r="B104" s="11" t="inlineStr">
        <is>
          <t>Gregory Florio</t>
        </is>
      </c>
      <c r="C104" s="11" t="inlineStr">
        <is>
          <t>Co-Managing Member, Founder</t>
        </is>
      </c>
      <c r="D104" s="11" t="inlineStr">
        <is>
          <t>Orical LLC</t>
        </is>
      </c>
      <c r="E104" s="12" t="n">
        <v>1</v>
      </c>
      <c r="F104" s="11" t="inlineStr">
        <is>
          <t>orical.org</t>
        </is>
      </c>
      <c r="G104" s="13" t="inlineStr">
        <is>
          <t>gflorio@florioleahy.com</t>
        </is>
      </c>
      <c r="H104" s="14" t="inlineStr">
        <is>
          <t>verified</t>
        </is>
      </c>
      <c r="I104" s="13" t="inlineStr">
        <is>
          <t>/in/gregory-florio-6854433b</t>
        </is>
      </c>
      <c r="J104" s="11" t="inlineStr">
        <is>
          <t>New York New York</t>
        </is>
      </c>
      <c r="K104" s="11" t="inlineStr"/>
      <c r="L104" s="12" t="n">
        <v>3</v>
      </c>
      <c r="M104" s="11" t="inlineStr">
        <is>
          <t>5ff97d97cbf6550001326750</t>
        </is>
      </c>
    </row>
    <row r="105">
      <c r="A105" s="11" t="inlineStr">
        <is>
          <t>Compliance (national)</t>
        </is>
      </c>
      <c r="B105" s="11" t="inlineStr">
        <is>
          <t>Buddy Doyle</t>
        </is>
      </c>
      <c r="C105" s="11" t="inlineStr">
        <is>
          <t>Founding Principal - Managing Director</t>
        </is>
      </c>
      <c r="D105" s="11" t="inlineStr">
        <is>
          <t>Oyster Consulting, LLC</t>
        </is>
      </c>
      <c r="E105" s="15" t="n">
        <v>8</v>
      </c>
      <c r="F105" s="11" t="inlineStr">
        <is>
          <t>oysterllc.com</t>
        </is>
      </c>
      <c r="G105" s="13" t="inlineStr">
        <is>
          <t>buddy.doyle@oysterllc.com</t>
        </is>
      </c>
      <c r="H105" s="14" t="inlineStr">
        <is>
          <t>verified</t>
        </is>
      </c>
      <c r="I105" s="13" t="inlineStr">
        <is>
          <t>/in/buddydoyle</t>
        </is>
      </c>
      <c r="J105" s="11" t="inlineStr">
        <is>
          <t>Richmond Virginia</t>
        </is>
      </c>
      <c r="K105" s="11" t="inlineStr">
        <is>
          <t>+1 804-965-5400</t>
        </is>
      </c>
      <c r="L105" s="12" t="n">
        <v>4</v>
      </c>
      <c r="M105" s="11" t="inlineStr">
        <is>
          <t>54c287fe7468697af7a858a5</t>
        </is>
      </c>
    </row>
    <row r="106">
      <c r="A106" s="11" t="inlineStr">
        <is>
          <t>Compliance (national)</t>
        </is>
      </c>
      <c r="B106" s="11" t="inlineStr">
        <is>
          <t>David Williams</t>
        </is>
      </c>
      <c r="C106" s="11" t="inlineStr">
        <is>
          <t>Managing Principal</t>
        </is>
      </c>
      <c r="D106" s="11" t="inlineStr">
        <is>
          <t>Oyster Consulting, LLC</t>
        </is>
      </c>
      <c r="E106" s="15" t="n">
        <v>8</v>
      </c>
      <c r="F106" s="11" t="inlineStr">
        <is>
          <t>oysterllc.com</t>
        </is>
      </c>
      <c r="G106" s="13" t="inlineStr">
        <is>
          <t>david.williams@oysterllc.com</t>
        </is>
      </c>
      <c r="H106" s="14" t="inlineStr">
        <is>
          <t>verified</t>
        </is>
      </c>
      <c r="I106" s="13" t="inlineStr">
        <is>
          <t>/in/david-williams-112a051b</t>
        </is>
      </c>
      <c r="J106" s="11" t="inlineStr">
        <is>
          <t>Richmond Virginia</t>
        </is>
      </c>
      <c r="K106" s="11" t="inlineStr">
        <is>
          <t>+1 804-965-5400</t>
        </is>
      </c>
      <c r="L106" s="12" t="n">
        <v>4</v>
      </c>
      <c r="M106" s="11" t="inlineStr">
        <is>
          <t>66f8346af3aaa200011eae3b</t>
        </is>
      </c>
    </row>
    <row r="107">
      <c r="A107" s="11" t="inlineStr">
        <is>
          <t>Compliance (national)</t>
        </is>
      </c>
      <c r="B107" s="11" t="inlineStr">
        <is>
          <t>Patrick Dennis</t>
        </is>
      </c>
      <c r="C107" s="11" t="inlineStr">
        <is>
          <t>Founder</t>
        </is>
      </c>
      <c r="D107" s="11" t="inlineStr">
        <is>
          <t>Oyster Consulting, LLC</t>
        </is>
      </c>
      <c r="E107" s="15" t="n">
        <v>8</v>
      </c>
      <c r="F107" s="11" t="inlineStr">
        <is>
          <t>oysterllc.com</t>
        </is>
      </c>
      <c r="G107" s="13" t="inlineStr">
        <is>
          <t>patrick.dennis@oysterllc.com</t>
        </is>
      </c>
      <c r="H107" s="14" t="inlineStr">
        <is>
          <t>verified</t>
        </is>
      </c>
      <c r="I107" s="13" t="inlineStr">
        <is>
          <t>/in/patrickmdennis</t>
        </is>
      </c>
      <c r="J107" s="11" t="inlineStr">
        <is>
          <t>Glen Allen Virginia</t>
        </is>
      </c>
      <c r="K107" s="11" t="inlineStr">
        <is>
          <t>+1 804-965-5400</t>
        </is>
      </c>
      <c r="L107" s="12" t="n">
        <v>3</v>
      </c>
      <c r="M107" s="11" t="inlineStr">
        <is>
          <t>60f5e8e87ef4d50001bb0f18</t>
        </is>
      </c>
    </row>
    <row r="108">
      <c r="A108" s="11" t="inlineStr">
        <is>
          <t>Compliance (national)</t>
        </is>
      </c>
      <c r="B108" s="11" t="inlineStr">
        <is>
          <t>Rob Hall</t>
        </is>
      </c>
      <c r="C108" s="11" t="inlineStr">
        <is>
          <t>Founding Principal &amp; Managing Director</t>
        </is>
      </c>
      <c r="D108" s="11" t="inlineStr">
        <is>
          <t>Oyster Consulting, LLC</t>
        </is>
      </c>
      <c r="E108" s="15" t="n">
        <v>8</v>
      </c>
      <c r="F108" s="11" t="inlineStr">
        <is>
          <t>oysterllc.com</t>
        </is>
      </c>
      <c r="G108" s="13" t="inlineStr">
        <is>
          <t>robert.hall@oysterllc.com</t>
        </is>
      </c>
      <c r="H108" s="14" t="inlineStr">
        <is>
          <t>verified</t>
        </is>
      </c>
      <c r="I108" s="13" t="inlineStr">
        <is>
          <t>/in/robhalloyster</t>
        </is>
      </c>
      <c r="J108" s="11" t="inlineStr">
        <is>
          <t>Glen Allen Virginia</t>
        </is>
      </c>
      <c r="K108" s="11" t="inlineStr">
        <is>
          <t>+1 804-965-5400</t>
        </is>
      </c>
      <c r="L108" s="12" t="n">
        <v>4</v>
      </c>
      <c r="M108" s="11" t="inlineStr">
        <is>
          <t>5b3f8969a6da98f1ff33cf99</t>
        </is>
      </c>
    </row>
    <row r="109">
      <c r="A109" s="11" t="inlineStr">
        <is>
          <t>Compliance (national)</t>
        </is>
      </c>
      <c r="B109" s="11" t="inlineStr">
        <is>
          <t>Deirdre Patten</t>
        </is>
      </c>
      <c r="C109" s="11" t="inlineStr">
        <is>
          <t>President/Owner</t>
        </is>
      </c>
      <c r="D109" s="11" t="inlineStr">
        <is>
          <t>Patten Training &amp; Review</t>
        </is>
      </c>
      <c r="E109" s="15" t="n">
        <v>2</v>
      </c>
      <c r="F109" s="11" t="inlineStr">
        <is>
          <t>pattentraining.com</t>
        </is>
      </c>
      <c r="G109" s="13" t="inlineStr">
        <is>
          <t>dpatten@pattentraining.com</t>
        </is>
      </c>
      <c r="H109" s="14" t="inlineStr">
        <is>
          <t>verified</t>
        </is>
      </c>
      <c r="I109" s="13" t="inlineStr">
        <is>
          <t>/in/deirdre-patten-65ba755</t>
        </is>
      </c>
      <c r="J109" s="11" t="inlineStr">
        <is>
          <t>Spring Texas</t>
        </is>
      </c>
      <c r="K109" s="11" t="inlineStr">
        <is>
          <t>+1 281-419-6030</t>
        </is>
      </c>
      <c r="L109" s="12" t="n">
        <v>3</v>
      </c>
      <c r="M109" s="11" t="inlineStr">
        <is>
          <t>66f750481c88dc0001d5b26d</t>
        </is>
      </c>
    </row>
    <row r="110">
      <c r="A110" s="11" t="inlineStr">
        <is>
          <t>Compliance (national)</t>
        </is>
      </c>
      <c r="B110" s="11" t="inlineStr">
        <is>
          <t>Ivana Shumberg</t>
        </is>
      </c>
      <c r="C110" s="11" t="inlineStr">
        <is>
          <t>Principal</t>
        </is>
      </c>
      <c r="D110" s="11" t="inlineStr">
        <is>
          <t>Patten Training &amp; Review</t>
        </is>
      </c>
      <c r="E110" s="15" t="n">
        <v>2</v>
      </c>
      <c r="F110" s="11" t="inlineStr">
        <is>
          <t>pattentraining.com</t>
        </is>
      </c>
      <c r="G110" s="13" t="inlineStr">
        <is>
          <t>ishumberg@pattentraining.com</t>
        </is>
      </c>
      <c r="H110" s="14" t="inlineStr">
        <is>
          <t>verified</t>
        </is>
      </c>
      <c r="I110" s="13" t="inlineStr">
        <is>
          <t>/in/ivana-shumberg-2b9868307</t>
        </is>
      </c>
      <c r="J110" s="11" t="inlineStr">
        <is>
          <t>Leander Texas</t>
        </is>
      </c>
      <c r="K110" s="11" t="inlineStr">
        <is>
          <t>+1 281-419-6030</t>
        </is>
      </c>
      <c r="L110" s="12" t="n">
        <v>3</v>
      </c>
      <c r="M110" s="11" t="inlineStr">
        <is>
          <t>66a088c7c139af0001fac142</t>
        </is>
      </c>
    </row>
    <row r="111">
      <c r="A111" s="11" t="inlineStr">
        <is>
          <t>Compliance (national)</t>
        </is>
      </c>
      <c r="B111" s="11" t="inlineStr">
        <is>
          <t>Deacon Durden</t>
        </is>
      </c>
      <c r="C111" s="11" t="inlineStr">
        <is>
          <t>President/Owner</t>
        </is>
      </c>
      <c r="D111" s="11" t="inlineStr">
        <is>
          <t>QCS Financial Services</t>
        </is>
      </c>
      <c r="E111" s="15" t="n">
        <v>2</v>
      </c>
      <c r="F111" s="11" t="inlineStr">
        <is>
          <t>qcsfinancialservices.com</t>
        </is>
      </c>
      <c r="G111" s="13" t="inlineStr">
        <is>
          <t>deacon@qcsfinancialservices.com</t>
        </is>
      </c>
      <c r="H111" s="17" t="inlineStr">
        <is>
          <t>extrapolated</t>
        </is>
      </c>
      <c r="I111" s="13" t="inlineStr">
        <is>
          <t>/in/deacon-john-durden-5b6a8517</t>
        </is>
      </c>
      <c r="J111" s="11" t="inlineStr">
        <is>
          <t>Livermore California</t>
        </is>
      </c>
      <c r="K111" s="11" t="inlineStr">
        <is>
          <t>+1 925-447-7666</t>
        </is>
      </c>
      <c r="L111" s="12" t="n">
        <v>3</v>
      </c>
      <c r="M111" s="11" t="inlineStr">
        <is>
          <t>66fd0d50348f810001b60bdf</t>
        </is>
      </c>
    </row>
    <row r="112">
      <c r="A112" s="11" t="inlineStr">
        <is>
          <t>Compliance (national)</t>
        </is>
      </c>
      <c r="B112" s="11" t="inlineStr">
        <is>
          <t>John Durden</t>
        </is>
      </c>
      <c r="C112" s="11" t="inlineStr">
        <is>
          <t>President</t>
        </is>
      </c>
      <c r="D112" s="11" t="inlineStr">
        <is>
          <t>QCS Financial Services</t>
        </is>
      </c>
      <c r="E112" s="15" t="n">
        <v>2</v>
      </c>
      <c r="F112" s="11" t="inlineStr">
        <is>
          <t>qcsfinancialservices.com</t>
        </is>
      </c>
      <c r="G112" s="11" t="inlineStr"/>
      <c r="H112" s="16" t="inlineStr">
        <is>
          <t>unavailable</t>
        </is>
      </c>
      <c r="I112" s="13" t="inlineStr">
        <is>
          <t>/in/john-durden-35080678</t>
        </is>
      </c>
      <c r="J112" s="11" t="inlineStr">
        <is>
          <t>Livermore California</t>
        </is>
      </c>
      <c r="K112" s="11" t="inlineStr">
        <is>
          <t>+1 925-447-7666</t>
        </is>
      </c>
      <c r="L112" s="12" t="n">
        <v>3</v>
      </c>
      <c r="M112" s="11" t="inlineStr">
        <is>
          <t>66f6affea3fccf0001e6e50f</t>
        </is>
      </c>
    </row>
    <row r="113">
      <c r="A113" s="11" t="inlineStr">
        <is>
          <t>Compliance (national)</t>
        </is>
      </c>
      <c r="B113" s="11" t="inlineStr">
        <is>
          <t>Kent Keister</t>
        </is>
      </c>
      <c r="C113" s="11" t="inlineStr">
        <is>
          <t>Founder &amp; Principal Consultant</t>
        </is>
      </c>
      <c r="D113" s="11" t="inlineStr">
        <is>
          <t>Reliant Compliance</t>
        </is>
      </c>
      <c r="E113" s="12" t="n">
        <v>1</v>
      </c>
      <c r="F113" s="11" t="inlineStr">
        <is>
          <t>reliantcompliance.com</t>
        </is>
      </c>
      <c r="G113" s="13" t="inlineStr">
        <is>
          <t>kent@reliantcompliance.com</t>
        </is>
      </c>
      <c r="H113" s="14" t="inlineStr">
        <is>
          <t>verified</t>
        </is>
      </c>
      <c r="I113" s="13" t="inlineStr">
        <is>
          <t>/in/kent-keister</t>
        </is>
      </c>
      <c r="J113" s="11" t="inlineStr">
        <is>
          <t>Columbus Ohio</t>
        </is>
      </c>
      <c r="K113" s="11" t="inlineStr">
        <is>
          <t>+1 614-259-8077</t>
        </is>
      </c>
      <c r="L113" s="12" t="n">
        <v>3</v>
      </c>
      <c r="M113" s="11" t="inlineStr">
        <is>
          <t>65966ec9d503db00015cf5b8</t>
        </is>
      </c>
    </row>
    <row r="114">
      <c r="A114" s="11" t="inlineStr">
        <is>
          <t>Compliance (national)</t>
        </is>
      </c>
      <c r="B114" s="11" t="inlineStr">
        <is>
          <t>Jarrod James</t>
        </is>
      </c>
      <c r="C114" s="11" t="inlineStr">
        <is>
          <t>Senior Vice President</t>
        </is>
      </c>
      <c r="D114" s="11" t="inlineStr">
        <is>
          <t>RIA Compliance Consultants, Inc.</t>
        </is>
      </c>
      <c r="E114" s="12" t="n">
        <v>1</v>
      </c>
      <c r="F114" s="11" t="inlineStr">
        <is>
          <t>ria-compliance-consultants.com</t>
        </is>
      </c>
      <c r="G114" s="13" t="inlineStr">
        <is>
          <t>jjames@ria-compliance-consultants.com</t>
        </is>
      </c>
      <c r="H114" s="14" t="inlineStr">
        <is>
          <t>verified</t>
        </is>
      </c>
      <c r="I114" s="13" t="inlineStr">
        <is>
          <t>/in/jarrodjames</t>
        </is>
      </c>
      <c r="J114" s="11" t="inlineStr">
        <is>
          <t>Omaha Nebraska</t>
        </is>
      </c>
      <c r="K114" s="11" t="inlineStr">
        <is>
          <t>+1 877-345-4034</t>
        </is>
      </c>
      <c r="L114" s="12" t="n">
        <v>3</v>
      </c>
      <c r="M114" s="11" t="inlineStr">
        <is>
          <t>66f9af78d1c6fd00016d2295</t>
        </is>
      </c>
    </row>
    <row r="115">
      <c r="A115" s="11" t="inlineStr">
        <is>
          <t>Compliance (national)</t>
        </is>
      </c>
      <c r="B115" s="11" t="inlineStr">
        <is>
          <t>Blake Bjordahl</t>
        </is>
      </c>
      <c r="C115" s="11" t="inlineStr">
        <is>
          <t>RIA Technology Evangelist | Compliance Specialist | Co-Founder | FinTech &amp; CompTech</t>
        </is>
      </c>
      <c r="D115" s="11" t="inlineStr">
        <is>
          <t>RIA Compliance Technology</t>
        </is>
      </c>
      <c r="E115" s="12" t="n">
        <v>1</v>
      </c>
      <c r="F115" s="11" t="inlineStr">
        <is>
          <t>riacomptech.com</t>
        </is>
      </c>
      <c r="G115" s="13" t="inlineStr">
        <is>
          <t>blake@riacomp.com</t>
        </is>
      </c>
      <c r="H115" s="14" t="inlineStr">
        <is>
          <t>verified</t>
        </is>
      </c>
      <c r="I115" s="13" t="inlineStr">
        <is>
          <t>/in/blakebjordahl</t>
        </is>
      </c>
      <c r="J115" s="11" t="inlineStr">
        <is>
          <t>Phoenix Arizona</t>
        </is>
      </c>
      <c r="K115" s="11" t="inlineStr">
        <is>
          <t>+1 480-999-2353</t>
        </is>
      </c>
      <c r="L115" s="12" t="n">
        <v>4</v>
      </c>
      <c r="M115" s="11" t="inlineStr">
        <is>
          <t>54a4fb0a7468693209438e72</t>
        </is>
      </c>
    </row>
    <row r="116">
      <c r="A116" s="11" t="inlineStr">
        <is>
          <t>Compliance (national)</t>
        </is>
      </c>
      <c r="B116" s="11" t="inlineStr">
        <is>
          <t>Elizabeth Cope</t>
        </is>
      </c>
      <c r="C116" s="11" t="inlineStr">
        <is>
          <t>CEO &amp; Lead Compliance Consultant</t>
        </is>
      </c>
      <c r="D116" s="11" t="inlineStr">
        <is>
          <t>SEC Compliance Solutions LLC</t>
        </is>
      </c>
      <c r="E116" s="15" t="n">
        <v>2</v>
      </c>
      <c r="F116" s="11" t="inlineStr">
        <is>
          <t>seccsllc.com</t>
        </is>
      </c>
      <c r="G116" s="13" t="inlineStr">
        <is>
          <t>liz@seccsllc.com</t>
        </is>
      </c>
      <c r="H116" s="14" t="inlineStr">
        <is>
          <t>verified</t>
        </is>
      </c>
      <c r="I116" s="13" t="inlineStr">
        <is>
          <t>/in/elizabeth-cope-cpa-cipm-cscp-b521bb8</t>
        </is>
      </c>
      <c r="J116" s="11" t="inlineStr">
        <is>
          <t>Medford Oregon</t>
        </is>
      </c>
      <c r="K116" s="11" t="inlineStr">
        <is>
          <t>+1 541-227-2336</t>
        </is>
      </c>
      <c r="L116" s="12" t="n">
        <v>3</v>
      </c>
      <c r="M116" s="11" t="inlineStr">
        <is>
          <t>66f780ccdad8b900012e3fc4</t>
        </is>
      </c>
    </row>
    <row r="117">
      <c r="A117" s="11" t="inlineStr">
        <is>
          <t>Compliance (national)</t>
        </is>
      </c>
      <c r="B117" s="11" t="inlineStr">
        <is>
          <t>Kate Mogan</t>
        </is>
      </c>
      <c r="C117" s="11" t="inlineStr">
        <is>
          <t>President, Senior Compliance Consultant</t>
        </is>
      </c>
      <c r="D117" s="11" t="inlineStr">
        <is>
          <t>SEC Compliance Solutions LLC</t>
        </is>
      </c>
      <c r="E117" s="15" t="n">
        <v>2</v>
      </c>
      <c r="F117" s="11" t="inlineStr">
        <is>
          <t>seccsllc.com</t>
        </is>
      </c>
      <c r="G117" s="13" t="inlineStr">
        <is>
          <t>katie@seccsllc.com</t>
        </is>
      </c>
      <c r="H117" s="14" t="inlineStr">
        <is>
          <t>verified</t>
        </is>
      </c>
      <c r="I117" s="13" t="inlineStr">
        <is>
          <t>/in/kate-mogan-iaccp%c2%ae-aa2ab833</t>
        </is>
      </c>
      <c r="J117" s="11" t="inlineStr">
        <is>
          <t>Boston Massachusetts</t>
        </is>
      </c>
      <c r="K117" s="11" t="inlineStr">
        <is>
          <t>+1 541-227-2336</t>
        </is>
      </c>
      <c r="L117" s="12" t="n">
        <v>3</v>
      </c>
      <c r="M117" s="11" t="inlineStr">
        <is>
          <t>6701460dfd76940001b7cb6c</t>
        </is>
      </c>
    </row>
    <row r="118">
      <c r="A118" s="11" t="inlineStr">
        <is>
          <t>Compliance (national)</t>
        </is>
      </c>
      <c r="B118" s="11" t="inlineStr">
        <is>
          <t>Stephen Simon</t>
        </is>
      </c>
      <c r="C118" s="11" t="inlineStr">
        <is>
          <t>President</t>
        </is>
      </c>
      <c r="D118" s="11" t="inlineStr">
        <is>
          <t>Securities Compliance Advisors</t>
        </is>
      </c>
      <c r="E118" s="12" t="n">
        <v>1</v>
      </c>
      <c r="F118" s="11" t="inlineStr">
        <is>
          <t>secadvisors.com</t>
        </is>
      </c>
      <c r="G118" s="13" t="inlineStr">
        <is>
          <t>ssimon@secadvisors.com</t>
        </is>
      </c>
      <c r="H118" s="17" t="inlineStr">
        <is>
          <t>extrapolated</t>
        </is>
      </c>
      <c r="I118" s="13" t="inlineStr">
        <is>
          <t>/in/stephen-simon-92301812</t>
        </is>
      </c>
      <c r="J118" s="11" t="inlineStr">
        <is>
          <t>Woodbridge Township New Jersey</t>
        </is>
      </c>
      <c r="K118" s="11" t="inlineStr">
        <is>
          <t>+1 505-466-3555</t>
        </is>
      </c>
      <c r="L118" s="12" t="n">
        <v>3</v>
      </c>
      <c r="M118" s="11" t="inlineStr">
        <is>
          <t>66f9db83d1c6fd00017ccd45</t>
        </is>
      </c>
    </row>
    <row r="119">
      <c r="A119" s="11" t="inlineStr">
        <is>
          <t>Compliance (national)</t>
        </is>
      </c>
      <c r="B119" s="11" t="inlineStr">
        <is>
          <t>Kyle Weeks</t>
        </is>
      </c>
      <c r="C119" s="11" t="inlineStr">
        <is>
          <t>Owner</t>
        </is>
      </c>
      <c r="D119" s="11" t="inlineStr">
        <is>
          <t>Securities Compliance Management</t>
        </is>
      </c>
      <c r="E119" s="12" t="n">
        <v>1</v>
      </c>
      <c r="F119" s="11" t="inlineStr"/>
      <c r="G119" s="13" t="inlineStr">
        <is>
          <t>kyle.weeks@mastercompliance.com</t>
        </is>
      </c>
      <c r="H119" s="14" t="inlineStr">
        <is>
          <t>verified</t>
        </is>
      </c>
      <c r="I119" s="13" t="inlineStr">
        <is>
          <t>/in/kyleweeks63</t>
        </is>
      </c>
      <c r="J119" s="11" t="inlineStr">
        <is>
          <t>Atlanta Georgia</t>
        </is>
      </c>
      <c r="K119" s="11" t="inlineStr">
        <is>
          <t>+1 678-679-8901</t>
        </is>
      </c>
      <c r="L119" s="12" t="n">
        <v>4</v>
      </c>
      <c r="M119" s="11" t="inlineStr">
        <is>
          <t>66faf01aaa1b6c00017e0baf</t>
        </is>
      </c>
    </row>
    <row r="120">
      <c r="A120" s="11" t="inlineStr">
        <is>
          <t>Compliance (national)</t>
        </is>
      </c>
      <c r="B120" s="11" t="inlineStr">
        <is>
          <t>Fizza Khan</t>
        </is>
      </c>
      <c r="C120" s="11" t="inlineStr">
        <is>
          <t>Chief Executive Officer</t>
        </is>
      </c>
      <c r="D120" s="11" t="inlineStr">
        <is>
          <t>Silver Regulatory Associates LLC</t>
        </is>
      </c>
      <c r="E120" s="12" t="n">
        <v>1</v>
      </c>
      <c r="F120" s="11" t="inlineStr">
        <is>
          <t>silverregulatoryassociates.com</t>
        </is>
      </c>
      <c r="G120" s="13" t="inlineStr">
        <is>
          <t>fkhan@silverreg.com</t>
        </is>
      </c>
      <c r="H120" s="14" t="inlineStr">
        <is>
          <t>verified</t>
        </is>
      </c>
      <c r="I120" s="13" t="inlineStr">
        <is>
          <t>/in/fizzakhan1</t>
        </is>
      </c>
      <c r="J120" s="11" t="inlineStr">
        <is>
          <t>New York New York</t>
        </is>
      </c>
      <c r="K120" s="11" t="inlineStr">
        <is>
          <t>+1 646-647-1407</t>
        </is>
      </c>
      <c r="L120" s="12" t="n">
        <v>3</v>
      </c>
      <c r="M120" s="11" t="inlineStr">
        <is>
          <t>60e5ebf9ef09480001f6d888</t>
        </is>
      </c>
    </row>
    <row r="121">
      <c r="A121" s="11" t="inlineStr">
        <is>
          <t>Compliance (national)</t>
        </is>
      </c>
      <c r="B121" s="11" t="inlineStr">
        <is>
          <t>Maureen James</t>
        </is>
      </c>
      <c r="C121" s="11" t="inlineStr">
        <is>
          <t>Owner</t>
        </is>
      </c>
      <c r="D121" s="11" t="inlineStr">
        <is>
          <t>Summit Compliance Group, LLC</t>
        </is>
      </c>
      <c r="E121" s="12" t="n">
        <v>1</v>
      </c>
      <c r="F121" s="11" t="inlineStr">
        <is>
          <t>summitcompliancegroup.com</t>
        </is>
      </c>
      <c r="G121" s="13" t="inlineStr">
        <is>
          <t>mjames@summitcompliancegroup.com</t>
        </is>
      </c>
      <c r="H121" s="14" t="inlineStr">
        <is>
          <t>verified</t>
        </is>
      </c>
      <c r="I121" s="13" t="inlineStr">
        <is>
          <t>/in/maureenjames1</t>
        </is>
      </c>
      <c r="J121" s="11" t="inlineStr">
        <is>
          <t>Saint Paul Minnesota</t>
        </is>
      </c>
      <c r="K121" s="11" t="inlineStr">
        <is>
          <t>+1 612-308-6161</t>
        </is>
      </c>
      <c r="L121" s="12" t="n">
        <v>3</v>
      </c>
      <c r="M121" s="11" t="inlineStr">
        <is>
          <t>57df4256a6da980b5c763fb0</t>
        </is>
      </c>
    </row>
    <row r="122">
      <c r="A122" s="11" t="inlineStr">
        <is>
          <t>Compliance (national)</t>
        </is>
      </c>
      <c r="B122" s="11" t="inlineStr">
        <is>
          <t>Josie Jones</t>
        </is>
      </c>
      <c r="C122" s="11" t="inlineStr">
        <is>
          <t>Principal</t>
        </is>
      </c>
      <c r="D122" s="11" t="inlineStr">
        <is>
          <t>Venning</t>
        </is>
      </c>
      <c r="E122" s="15" t="n">
        <v>3</v>
      </c>
      <c r="F122" s="11" t="inlineStr">
        <is>
          <t>venningadvisors.com</t>
        </is>
      </c>
      <c r="G122" s="13" t="inlineStr">
        <is>
          <t>jjones@venningadvisors.com</t>
        </is>
      </c>
      <c r="H122" s="14" t="inlineStr">
        <is>
          <t>verified</t>
        </is>
      </c>
      <c r="I122" s="13" t="inlineStr">
        <is>
          <t>/in/josie-rogers-jones</t>
        </is>
      </c>
      <c r="J122" s="11" t="inlineStr">
        <is>
          <t>Hanover New Hampshire</t>
        </is>
      </c>
      <c r="K122" s="11" t="inlineStr">
        <is>
          <t>+1 410-329-6002</t>
        </is>
      </c>
      <c r="L122" s="12" t="n">
        <v>4</v>
      </c>
      <c r="M122" s="11" t="inlineStr">
        <is>
          <t>65215dafe8b05d00012a0a06</t>
        </is>
      </c>
    </row>
    <row r="123">
      <c r="A123" s="11" t="inlineStr">
        <is>
          <t>Enterprise compliance</t>
        </is>
      </c>
      <c r="B123" s="11" t="inlineStr">
        <is>
          <t>Michael Borts</t>
        </is>
      </c>
      <c r="C123" s="11" t="inlineStr">
        <is>
          <t>Chief Technology Officer</t>
        </is>
      </c>
      <c r="D123" s="11" t="inlineStr">
        <is>
          <t>ACA Group</t>
        </is>
      </c>
      <c r="E123" s="15" t="n">
        <v>2</v>
      </c>
      <c r="F123" s="11" t="inlineStr">
        <is>
          <t>acaglobal.com</t>
        </is>
      </c>
      <c r="G123" s="13" t="inlineStr">
        <is>
          <t>michael.borts@acaglobal.com</t>
        </is>
      </c>
      <c r="H123" s="14" t="inlineStr">
        <is>
          <t>verified</t>
        </is>
      </c>
      <c r="I123" s="13" t="inlineStr">
        <is>
          <t>/in/mborts</t>
        </is>
      </c>
      <c r="J123" s="11" t="inlineStr">
        <is>
          <t>East Brunswick New Jersey</t>
        </is>
      </c>
      <c r="K123" s="11" t="inlineStr">
        <is>
          <t>+1 212-951-1030</t>
        </is>
      </c>
      <c r="L123" s="12" t="n">
        <v>1</v>
      </c>
      <c r="M123" s="11" t="inlineStr">
        <is>
          <t>6425a54ea134440001f67af4</t>
        </is>
      </c>
    </row>
    <row r="124">
      <c r="A124" s="11" t="inlineStr">
        <is>
          <t>Enterprise compliance</t>
        </is>
      </c>
      <c r="B124" s="11" t="inlineStr">
        <is>
          <t>Trey Loughran</t>
        </is>
      </c>
      <c r="C124" s="11" t="inlineStr">
        <is>
          <t>Chief Executive Officer</t>
        </is>
      </c>
      <c r="D124" s="11" t="inlineStr">
        <is>
          <t>ACA Group</t>
        </is>
      </c>
      <c r="E124" s="15" t="n">
        <v>2</v>
      </c>
      <c r="F124" s="11" t="inlineStr">
        <is>
          <t>acaglobal.com</t>
        </is>
      </c>
      <c r="G124" s="13" t="inlineStr">
        <is>
          <t>trey.loughran@acaglobal.com</t>
        </is>
      </c>
      <c r="H124" s="14" t="inlineStr">
        <is>
          <t>verified</t>
        </is>
      </c>
      <c r="I124" s="13" t="inlineStr">
        <is>
          <t>/in/treyloughran</t>
        </is>
      </c>
      <c r="J124" s="11" t="inlineStr">
        <is>
          <t>New York New York</t>
        </is>
      </c>
      <c r="K124" s="11" t="inlineStr">
        <is>
          <t>+1 212-951-1030</t>
        </is>
      </c>
      <c r="L124" s="12" t="n">
        <v>1</v>
      </c>
      <c r="M124" s="11" t="inlineStr">
        <is>
          <t>611bd38a913fd10001ae0211</t>
        </is>
      </c>
    </row>
    <row r="125">
      <c r="A125" s="11" t="inlineStr">
        <is>
          <t>Enterprise compliance</t>
        </is>
      </c>
      <c r="B125" s="11" t="inlineStr">
        <is>
          <t>Jay Haas</t>
        </is>
      </c>
      <c r="C125" s="11" t="inlineStr">
        <is>
          <t>Managing Director</t>
        </is>
      </c>
      <c r="D125" s="11" t="inlineStr">
        <is>
          <t>Cipperman Compliance Services, LLC (now part of Foreside)</t>
        </is>
      </c>
      <c r="E125" s="12" t="n">
        <v>1</v>
      </c>
      <c r="F125" s="11" t="inlineStr">
        <is>
          <t>cipperman.com</t>
        </is>
      </c>
      <c r="G125" s="11" t="inlineStr"/>
      <c r="H125" s="16" t="inlineStr">
        <is>
          <t>unavailable</t>
        </is>
      </c>
      <c r="I125" s="13" t="inlineStr">
        <is>
          <t>/in/jay-haas-a7560a17</t>
        </is>
      </c>
      <c r="J125" s="11" t="inlineStr">
        <is>
          <t>Malvern Pennsylvania</t>
        </is>
      </c>
      <c r="K125" s="11" t="inlineStr">
        <is>
          <t>+1 610-687-5320</t>
        </is>
      </c>
      <c r="L125" s="12" t="n">
        <v>1</v>
      </c>
      <c r="M125" s="11" t="inlineStr">
        <is>
          <t>54a611047468692fa227edbf</t>
        </is>
      </c>
    </row>
    <row r="126">
      <c r="A126" s="11" t="inlineStr">
        <is>
          <t>Enterprise compliance</t>
        </is>
      </c>
      <c r="B126" s="11" t="inlineStr">
        <is>
          <t>Daniel Garrett</t>
        </is>
      </c>
      <c r="C126" s="11" t="inlineStr">
        <is>
          <t>Managing Director</t>
        </is>
      </c>
      <c r="D126" s="11" t="inlineStr">
        <is>
          <t>Oyster Consulting, LLC</t>
        </is>
      </c>
      <c r="E126" s="15" t="n">
        <v>8</v>
      </c>
      <c r="F126" s="11" t="inlineStr">
        <is>
          <t>oysterllc.com</t>
        </is>
      </c>
      <c r="G126" s="13" t="inlineStr">
        <is>
          <t>dan.garrett@oysterllc.com</t>
        </is>
      </c>
      <c r="H126" s="14" t="inlineStr">
        <is>
          <t>verified</t>
        </is>
      </c>
      <c r="I126" s="13" t="inlineStr">
        <is>
          <t>/in/danielgarrett</t>
        </is>
      </c>
      <c r="J126" s="11" t="inlineStr">
        <is>
          <t>Clermont Florida</t>
        </is>
      </c>
      <c r="K126" s="11" t="inlineStr">
        <is>
          <t>+1 804-965-5400</t>
        </is>
      </c>
      <c r="L126" s="12" t="n">
        <v>1</v>
      </c>
      <c r="M126" s="11" t="inlineStr">
        <is>
          <t>60d46f510847b80001e77e7f</t>
        </is>
      </c>
    </row>
    <row r="127">
      <c r="A127" s="11" t="inlineStr">
        <is>
          <t>Enterprise compliance</t>
        </is>
      </c>
      <c r="B127" s="11" t="inlineStr">
        <is>
          <t>Gena Spitzer</t>
        </is>
      </c>
      <c r="C127" s="11" t="inlineStr">
        <is>
          <t>Managing Director</t>
        </is>
      </c>
      <c r="D127" s="11" t="inlineStr">
        <is>
          <t>Oyster Consulting, LLC</t>
        </is>
      </c>
      <c r="E127" s="15" t="n">
        <v>8</v>
      </c>
      <c r="F127" s="11" t="inlineStr">
        <is>
          <t>oysterllc.com</t>
        </is>
      </c>
      <c r="G127" s="13" t="inlineStr">
        <is>
          <t>gena.spitzer@oysterllc.com</t>
        </is>
      </c>
      <c r="H127" s="14" t="inlineStr">
        <is>
          <t>verified</t>
        </is>
      </c>
      <c r="I127" s="13" t="inlineStr">
        <is>
          <t>/in/genaspitzer</t>
        </is>
      </c>
      <c r="J127" s="11" t="inlineStr">
        <is>
          <t>Richmond Virginia</t>
        </is>
      </c>
      <c r="K127" s="11" t="inlineStr">
        <is>
          <t>+1 804-965-5400</t>
        </is>
      </c>
      <c r="L127" s="12" t="n">
        <v>1</v>
      </c>
      <c r="M127" s="11" t="inlineStr">
        <is>
          <t>54a629667468693b8ce290c7</t>
        </is>
      </c>
    </row>
    <row r="128">
      <c r="A128" s="11" t="inlineStr">
        <is>
          <t>Enterprise compliance</t>
        </is>
      </c>
      <c r="B128" s="11" t="inlineStr">
        <is>
          <t>Lisa Robinson</t>
        </is>
      </c>
      <c r="C128" s="11" t="inlineStr">
        <is>
          <t>Managing Director</t>
        </is>
      </c>
      <c r="D128" s="11" t="inlineStr">
        <is>
          <t>Oyster Consulting, LLC</t>
        </is>
      </c>
      <c r="E128" s="15" t="n">
        <v>8</v>
      </c>
      <c r="F128" s="11" t="inlineStr">
        <is>
          <t>oysterllc.com</t>
        </is>
      </c>
      <c r="G128" s="13" t="inlineStr">
        <is>
          <t>lisa.robinson@oysterllc.com</t>
        </is>
      </c>
      <c r="H128" s="14" t="inlineStr">
        <is>
          <t>verified</t>
        </is>
      </c>
      <c r="I128" s="13" t="inlineStr">
        <is>
          <t>/in/lisa-robinson-97902018</t>
        </is>
      </c>
      <c r="J128" s="11" t="inlineStr">
        <is>
          <t>Emerson New Jersey</t>
        </is>
      </c>
      <c r="K128" s="11" t="inlineStr">
        <is>
          <t>+1 804-965-5400</t>
        </is>
      </c>
      <c r="L128" s="12" t="n">
        <v>1</v>
      </c>
      <c r="M128" s="11" t="inlineStr">
        <is>
          <t>645bbe01684f1800014e1d21</t>
        </is>
      </c>
    </row>
    <row r="129">
      <c r="A129" s="11" t="inlineStr">
        <is>
          <t>Enterprise compliance</t>
        </is>
      </c>
      <c r="B129" s="11" t="inlineStr">
        <is>
          <t>Pete McAteer</t>
        </is>
      </c>
      <c r="C129" s="11" t="inlineStr">
        <is>
          <t>Managing Director</t>
        </is>
      </c>
      <c r="D129" s="11" t="inlineStr">
        <is>
          <t>Oyster Consulting, LLC</t>
        </is>
      </c>
      <c r="E129" s="15" t="n">
        <v>8</v>
      </c>
      <c r="F129" s="11" t="inlineStr">
        <is>
          <t>oysterllc.com</t>
        </is>
      </c>
      <c r="G129" s="13" t="inlineStr">
        <is>
          <t>pete.mcateer@oysterllc.com</t>
        </is>
      </c>
      <c r="H129" s="14" t="inlineStr">
        <is>
          <t>verified</t>
        </is>
      </c>
      <c r="I129" s="13" t="inlineStr">
        <is>
          <t>/in/pete-mcateer-9539201</t>
        </is>
      </c>
      <c r="J129" s="11" t="inlineStr">
        <is>
          <t>Richmond Virginia</t>
        </is>
      </c>
      <c r="K129" s="11" t="inlineStr">
        <is>
          <t>+1 804-965-5400</t>
        </is>
      </c>
      <c r="L129" s="12" t="n">
        <v>1</v>
      </c>
      <c r="M129" s="11" t="inlineStr">
        <is>
          <t>54a78bb67468696829f3aa3e</t>
        </is>
      </c>
    </row>
    <row r="130">
      <c r="A130" s="11" t="inlineStr">
        <is>
          <t>Compliance + legal</t>
        </is>
      </c>
      <c r="B130" s="11" t="inlineStr">
        <is>
          <t>Brian Hamburger</t>
        </is>
      </c>
      <c r="C130" s="11" t="inlineStr">
        <is>
          <t>Founder &amp; Chief Executive Officer</t>
        </is>
      </c>
      <c r="D130" s="11" t="inlineStr">
        <is>
          <t>MarketCounsel Consulting</t>
        </is>
      </c>
      <c r="E130" s="15" t="n">
        <v>3</v>
      </c>
      <c r="F130" s="11" t="inlineStr">
        <is>
          <t>marketcounsel.com</t>
        </is>
      </c>
      <c r="G130" s="13" t="inlineStr">
        <is>
          <t>summit@marketcounsel.com</t>
        </is>
      </c>
      <c r="H130" s="14" t="inlineStr">
        <is>
          <t>verified</t>
        </is>
      </c>
      <c r="I130" s="13" t="inlineStr">
        <is>
          <t>/in/hamburger</t>
        </is>
      </c>
      <c r="J130" s="11" t="inlineStr">
        <is>
          <t>New York New York</t>
        </is>
      </c>
      <c r="K130" s="11" t="inlineStr">
        <is>
          <t>+1 201-705-1200</t>
        </is>
      </c>
      <c r="L130" s="12" t="n">
        <v>1</v>
      </c>
      <c r="M130" s="11" t="inlineStr">
        <is>
          <t>60e75aa2f5153b000116014f</t>
        </is>
      </c>
    </row>
    <row r="131">
      <c r="A131" s="11" t="inlineStr">
        <is>
          <t>Compliance + legal</t>
        </is>
      </c>
      <c r="B131" s="11" t="inlineStr">
        <is>
          <t>Paul Lally</t>
        </is>
      </c>
      <c r="C131" s="11" t="inlineStr">
        <is>
          <t>Executive Managing Director</t>
        </is>
      </c>
      <c r="D131" s="11" t="inlineStr">
        <is>
          <t>MarketCounsel Consulting</t>
        </is>
      </c>
      <c r="E131" s="15" t="n">
        <v>3</v>
      </c>
      <c r="F131" s="11" t="inlineStr">
        <is>
          <t>marketcounsel.com</t>
        </is>
      </c>
      <c r="G131" s="13" t="inlineStr">
        <is>
          <t>plally@cnsl.me</t>
        </is>
      </c>
      <c r="H131" s="14" t="inlineStr">
        <is>
          <t>verified</t>
        </is>
      </c>
      <c r="I131" s="13" t="inlineStr">
        <is>
          <t>/in/paul-lally</t>
        </is>
      </c>
      <c r="J131" s="11" t="inlineStr">
        <is>
          <t>Philadelphia Pennsylvania</t>
        </is>
      </c>
      <c r="K131" s="11" t="inlineStr">
        <is>
          <t>+1 201-705-1200</t>
        </is>
      </c>
      <c r="L131" s="12" t="n">
        <v>1</v>
      </c>
      <c r="M131" s="11" t="inlineStr">
        <is>
          <t>658e6023e70de8000171cc72</t>
        </is>
      </c>
    </row>
    <row r="132">
      <c r="A132" s="11" t="inlineStr">
        <is>
          <t>Compliance + legal</t>
        </is>
      </c>
      <c r="B132" s="11" t="inlineStr">
        <is>
          <t>Walter Booker</t>
        </is>
      </c>
      <c r="C132" s="11" t="inlineStr">
        <is>
          <t>COO</t>
        </is>
      </c>
      <c r="D132" s="11" t="inlineStr">
        <is>
          <t>MarketCounsel Consulting</t>
        </is>
      </c>
      <c r="E132" s="15" t="n">
        <v>3</v>
      </c>
      <c r="F132" s="11" t="inlineStr">
        <is>
          <t>marketcounsel.com</t>
        </is>
      </c>
      <c r="G132" s="13" t="inlineStr">
        <is>
          <t>wbooker@marketcounsel.com</t>
        </is>
      </c>
      <c r="H132" s="14" t="inlineStr">
        <is>
          <t>verified</t>
        </is>
      </c>
      <c r="I132" s="13" t="inlineStr">
        <is>
          <t>/in/walterkbooker</t>
        </is>
      </c>
      <c r="J132" s="11" t="inlineStr"/>
      <c r="K132" s="11" t="inlineStr">
        <is>
          <t>+1 201-705-1200</t>
        </is>
      </c>
      <c r="L132" s="12" t="n">
        <v>1</v>
      </c>
      <c r="M132" s="11" t="inlineStr">
        <is>
          <t>610cc1b53b94a90001d5c70f</t>
        </is>
      </c>
    </row>
    <row r="133">
      <c r="A133" s="11" t="inlineStr">
        <is>
          <t>Cyber / E&amp;O broker</t>
        </is>
      </c>
      <c r="B133" s="11" t="inlineStr">
        <is>
          <t>Cameron Norris</t>
        </is>
      </c>
      <c r="C133" s="11" t="inlineStr">
        <is>
          <t>Shareholder &amp; Vice President Gsria</t>
        </is>
      </c>
      <c r="D133" s="11" t="inlineStr">
        <is>
          <t>Golsan Scruggs</t>
        </is>
      </c>
      <c r="E133" s="15" t="n">
        <v>2</v>
      </c>
      <c r="F133" s="11" t="inlineStr">
        <is>
          <t>gsria.com</t>
        </is>
      </c>
      <c r="G133" s="13" t="inlineStr">
        <is>
          <t>cnorris@golsanscruggs.com</t>
        </is>
      </c>
      <c r="H133" s="14" t="inlineStr">
        <is>
          <t>verified</t>
        </is>
      </c>
      <c r="I133" s="13" t="inlineStr">
        <is>
          <t>/in/cameron-norris-caia-32774150</t>
        </is>
      </c>
      <c r="J133" s="11" t="inlineStr">
        <is>
          <t>Lake Oswego Oregon</t>
        </is>
      </c>
      <c r="K133" s="11" t="inlineStr">
        <is>
          <t>+1 503-244-0297</t>
        </is>
      </c>
      <c r="L133" s="12" t="n">
        <v>1</v>
      </c>
      <c r="M133" s="11" t="inlineStr">
        <is>
          <t>66f74e2bd68d72000171647d</t>
        </is>
      </c>
    </row>
    <row r="134">
      <c r="A134" s="11" t="inlineStr">
        <is>
          <t>Cyber / E&amp;O broker</t>
        </is>
      </c>
      <c r="B134" s="11" t="inlineStr">
        <is>
          <t>Kenneth Golsan</t>
        </is>
      </c>
      <c r="C134" s="11" t="inlineStr">
        <is>
          <t>Co-Founder &amp; Managing Director</t>
        </is>
      </c>
      <c r="D134" s="11" t="inlineStr">
        <is>
          <t>Golsan Scruggs</t>
        </is>
      </c>
      <c r="E134" s="15" t="n">
        <v>2</v>
      </c>
      <c r="F134" s="11" t="inlineStr">
        <is>
          <t>gsria.com</t>
        </is>
      </c>
      <c r="G134" s="13" t="inlineStr">
        <is>
          <t>kgolsan@golsanscruggs.com</t>
        </is>
      </c>
      <c r="H134" s="14" t="inlineStr">
        <is>
          <t>verified</t>
        </is>
      </c>
      <c r="I134" s="13" t="inlineStr">
        <is>
          <t>/in/kenneth-golsan-46555520</t>
        </is>
      </c>
      <c r="J134" s="11" t="inlineStr">
        <is>
          <t>Portland Oregon</t>
        </is>
      </c>
      <c r="K134" s="11" t="inlineStr">
        <is>
          <t>+1 503-244-0297</t>
        </is>
      </c>
      <c r="L134" s="12" t="n">
        <v>1</v>
      </c>
      <c r="M134" s="11" t="inlineStr">
        <is>
          <t>671d78845b01f200010c5c7a</t>
        </is>
      </c>
    </row>
    <row r="135">
      <c r="A135" s="11" t="inlineStr">
        <is>
          <t>Cyber / E&amp;O broker</t>
        </is>
      </c>
      <c r="B135" s="11" t="inlineStr">
        <is>
          <t>Andrea Dyer</t>
        </is>
      </c>
      <c r="C135" s="11" t="inlineStr">
        <is>
          <t>CEO and President</t>
        </is>
      </c>
      <c r="D135" s="11" t="inlineStr">
        <is>
          <t>HCP National Insurance Services, Inc.</t>
        </is>
      </c>
      <c r="E135" s="15" t="n">
        <v>2</v>
      </c>
      <c r="F135" s="11" t="inlineStr">
        <is>
          <t>hcpnational.com</t>
        </is>
      </c>
      <c r="G135" s="13" t="inlineStr">
        <is>
          <t>crisl@hcpnational.com</t>
        </is>
      </c>
      <c r="H135" s="14" t="inlineStr">
        <is>
          <t>verified</t>
        </is>
      </c>
      <c r="I135" s="13" t="inlineStr">
        <is>
          <t>/in/andrea-%e2%80%9ccris%e2%80%9d-dyer-06b58233</t>
        </is>
      </c>
      <c r="J135" s="11" t="inlineStr">
        <is>
          <t>Aliso Viejo California</t>
        </is>
      </c>
      <c r="K135" s="11" t="inlineStr">
        <is>
          <t>+1 888-478-6756</t>
        </is>
      </c>
      <c r="L135" s="12" t="n">
        <v>1</v>
      </c>
      <c r="M135" s="11" t="inlineStr">
        <is>
          <t>611d5286b1d1db000183ba71</t>
        </is>
      </c>
    </row>
    <row r="136">
      <c r="A136" s="11" t="inlineStr">
        <is>
          <t>Cyber / E&amp;O broker</t>
        </is>
      </c>
      <c r="B136" s="11" t="inlineStr">
        <is>
          <t>William Dyer</t>
        </is>
      </c>
      <c r="C136" s="11" t="inlineStr">
        <is>
          <t>Vice President</t>
        </is>
      </c>
      <c r="D136" s="11" t="inlineStr">
        <is>
          <t>HCP National Insurance Services, Inc.</t>
        </is>
      </c>
      <c r="E136" s="15" t="n">
        <v>2</v>
      </c>
      <c r="F136" s="11" t="inlineStr">
        <is>
          <t>hcpnational.com</t>
        </is>
      </c>
      <c r="G136" s="13" t="inlineStr">
        <is>
          <t>williamd@hcpnational.com</t>
        </is>
      </c>
      <c r="H136" s="14" t="inlineStr">
        <is>
          <t>verified</t>
        </is>
      </c>
      <c r="I136" s="13" t="inlineStr">
        <is>
          <t>/in/williamddyer</t>
        </is>
      </c>
      <c r="J136" s="11" t="inlineStr">
        <is>
          <t>Los Angeles California</t>
        </is>
      </c>
      <c r="K136" s="11" t="inlineStr">
        <is>
          <t>+1 888-478-6756</t>
        </is>
      </c>
      <c r="L136" s="12" t="n">
        <v>1</v>
      </c>
      <c r="M136" s="11" t="inlineStr">
        <is>
          <t>57db1a87a6da984c10694de7</t>
        </is>
      </c>
    </row>
    <row r="137">
      <c r="A137" s="11" t="inlineStr">
        <is>
          <t>Cyber / E&amp;O broker</t>
        </is>
      </c>
      <c r="B137" s="11" t="inlineStr">
        <is>
          <t>Chris Powell</t>
        </is>
      </c>
      <c r="C137" s="11" t="inlineStr">
        <is>
          <t>Senior Vice President</t>
        </is>
      </c>
      <c r="D137" s="11" t="inlineStr">
        <is>
          <t>Lockton Affinity</t>
        </is>
      </c>
      <c r="E137" s="15" t="n">
        <v>3</v>
      </c>
      <c r="F137" s="11" t="inlineStr">
        <is>
          <t>locktonaffinity.com</t>
        </is>
      </c>
      <c r="G137" s="13" t="inlineStr">
        <is>
          <t>cpowell@locktonaffinity.com</t>
        </is>
      </c>
      <c r="H137" s="14" t="inlineStr">
        <is>
          <t>verified</t>
        </is>
      </c>
      <c r="I137" s="13" t="inlineStr">
        <is>
          <t>/in/chris-powell-9381018</t>
        </is>
      </c>
      <c r="J137" s="11" t="inlineStr">
        <is>
          <t>Kansas City Missouri</t>
        </is>
      </c>
      <c r="K137" s="11" t="inlineStr">
        <is>
          <t>+44 20 7933 0000</t>
        </is>
      </c>
      <c r="L137" s="12" t="n">
        <v>1</v>
      </c>
      <c r="M137" s="11" t="inlineStr">
        <is>
          <t>54a466847468692cf0407044</t>
        </is>
      </c>
    </row>
    <row r="138">
      <c r="A138" s="11" t="inlineStr">
        <is>
          <t>Cyber / E&amp;O broker</t>
        </is>
      </c>
      <c r="B138" s="11" t="inlineStr">
        <is>
          <t>Nathan Borghardt</t>
        </is>
      </c>
      <c r="C138" s="11" t="inlineStr">
        <is>
          <t>AVP-Business Development Executive</t>
        </is>
      </c>
      <c r="D138" s="11" t="inlineStr">
        <is>
          <t>Lockton Affinity</t>
        </is>
      </c>
      <c r="E138" s="15" t="n">
        <v>3</v>
      </c>
      <c r="F138" s="11" t="inlineStr">
        <is>
          <t>locktonaffinity.com</t>
        </is>
      </c>
      <c r="G138" s="13" t="inlineStr">
        <is>
          <t>nborghardt@locktonaffinity.com</t>
        </is>
      </c>
      <c r="H138" s="14" t="inlineStr">
        <is>
          <t>verified</t>
        </is>
      </c>
      <c r="I138" s="13" t="inlineStr">
        <is>
          <t>/in/nathan-borghardt-95224253</t>
        </is>
      </c>
      <c r="J138" s="11" t="inlineStr">
        <is>
          <t>Kansas City Missouri</t>
        </is>
      </c>
      <c r="K138" s="11" t="inlineStr">
        <is>
          <t>+44 20 7933 0000</t>
        </is>
      </c>
      <c r="L138" s="12" t="n">
        <v>1</v>
      </c>
      <c r="M138" s="11" t="inlineStr">
        <is>
          <t>66fb067ca2b2690001ce4cbd</t>
        </is>
      </c>
    </row>
    <row r="139">
      <c r="A139" s="11" t="inlineStr">
        <is>
          <t>Cyber / E&amp;O broker</t>
        </is>
      </c>
      <c r="B139" s="11" t="inlineStr">
        <is>
          <t>Reid Robson</t>
        </is>
      </c>
      <c r="C139" s="11" t="inlineStr">
        <is>
          <t>Vice President / Producer</t>
        </is>
      </c>
      <c r="D139" s="11" t="inlineStr">
        <is>
          <t>Lockton Affinity</t>
        </is>
      </c>
      <c r="E139" s="15" t="n">
        <v>3</v>
      </c>
      <c r="F139" s="11" t="inlineStr">
        <is>
          <t>locktonaffinity.com</t>
        </is>
      </c>
      <c r="G139" s="13" t="inlineStr">
        <is>
          <t>rrobson@locktonaffinity.com</t>
        </is>
      </c>
      <c r="H139" s="14" t="inlineStr">
        <is>
          <t>verified</t>
        </is>
      </c>
      <c r="I139" s="13" t="inlineStr">
        <is>
          <t>/in/reid-robson-25473549</t>
        </is>
      </c>
      <c r="J139" s="11" t="inlineStr">
        <is>
          <t>Overland Park Kansas</t>
        </is>
      </c>
      <c r="K139" s="11" t="inlineStr">
        <is>
          <t>+44 20 7933 0000</t>
        </is>
      </c>
      <c r="L139" s="12" t="n">
        <v>1</v>
      </c>
      <c r="M139" s="11" t="inlineStr">
        <is>
          <t>54a1becc74686949e7eb5d0d</t>
        </is>
      </c>
    </row>
    <row r="140">
      <c r="A140" s="11" t="inlineStr">
        <is>
          <t>Cyber / E&amp;O broker</t>
        </is>
      </c>
      <c r="B140" s="11" t="inlineStr">
        <is>
          <t>Chris Coyle</t>
        </is>
      </c>
      <c r="C140" s="11" t="inlineStr">
        <is>
          <t>Principal Sales Executive &amp; Consultant</t>
        </is>
      </c>
      <c r="D140" s="11" t="inlineStr">
        <is>
          <t>The Coyle Group</t>
        </is>
      </c>
      <c r="E140" s="15" t="n">
        <v>2</v>
      </c>
      <c r="F140" s="11" t="inlineStr">
        <is>
          <t>thecoylegroup.com</t>
        </is>
      </c>
      <c r="G140" s="11" t="inlineStr"/>
      <c r="H140" s="16" t="inlineStr">
        <is>
          <t>unavailable</t>
        </is>
      </c>
      <c r="I140" s="13" t="inlineStr">
        <is>
          <t>/in/christinecoyle</t>
        </is>
      </c>
      <c r="J140" s="11" t="inlineStr">
        <is>
          <t>Seattle Washington</t>
        </is>
      </c>
      <c r="K140" s="11" t="inlineStr">
        <is>
          <t>+1 845-634-3606</t>
        </is>
      </c>
      <c r="L140" s="12" t="n">
        <v>1</v>
      </c>
      <c r="M140" s="11" t="inlineStr">
        <is>
          <t>6740b755e169080001c22ca7</t>
        </is>
      </c>
    </row>
    <row r="141">
      <c r="A141" s="11" t="inlineStr">
        <is>
          <t>Cyber / E&amp;O broker</t>
        </is>
      </c>
      <c r="B141" s="11" t="inlineStr">
        <is>
          <t>Karen Coyle</t>
        </is>
      </c>
      <c r="C141" s="11" t="inlineStr">
        <is>
          <t>Vice President of Operations</t>
        </is>
      </c>
      <c r="D141" s="11" t="inlineStr">
        <is>
          <t>The Coyle Group</t>
        </is>
      </c>
      <c r="E141" s="15" t="n">
        <v>2</v>
      </c>
      <c r="F141" s="11" t="inlineStr">
        <is>
          <t>thecoylegroup.com</t>
        </is>
      </c>
      <c r="G141" s="13" t="inlineStr">
        <is>
          <t>karen@thecoylegroup.com</t>
        </is>
      </c>
      <c r="H141" s="14" t="inlineStr">
        <is>
          <t>verified</t>
        </is>
      </c>
      <c r="I141" s="13" t="inlineStr">
        <is>
          <t>/in/karen-coyle-b7679376</t>
        </is>
      </c>
      <c r="J141" s="11" t="inlineStr">
        <is>
          <t>New City New York</t>
        </is>
      </c>
      <c r="K141" s="11" t="inlineStr">
        <is>
          <t>+1 845-634-3606</t>
        </is>
      </c>
      <c r="L141" s="12" t="n">
        <v>1</v>
      </c>
      <c r="M141" s="11" t="inlineStr">
        <is>
          <t>54a58dd17468693442f4569b</t>
        </is>
      </c>
    </row>
    <row r="142">
      <c r="A142" s="11" t="inlineStr">
        <is>
          <t>Securities counsel</t>
        </is>
      </c>
      <c r="B142" s="11" t="inlineStr">
        <is>
          <t>Patricia Klusmeyer</t>
        </is>
      </c>
      <c r="C142" s="11" t="inlineStr">
        <is>
          <t>Partner</t>
        </is>
      </c>
      <c r="D142" s="11" t="inlineStr">
        <is>
          <t>Parker MacIntyre</t>
        </is>
      </c>
      <c r="E142" s="15" t="n">
        <v>2</v>
      </c>
      <c r="F142" s="11" t="inlineStr">
        <is>
          <t>riacompliancelawyer.com</t>
        </is>
      </c>
      <c r="G142" s="13" t="inlineStr">
        <is>
          <t>pklusmeyer@parkmac.com</t>
        </is>
      </c>
      <c r="H142" s="14" t="inlineStr">
        <is>
          <t>verified</t>
        </is>
      </c>
      <c r="I142" s="13" t="inlineStr">
        <is>
          <t>/in/patricia-klusmeyer-4b6915b</t>
        </is>
      </c>
      <c r="J142" s="11" t="inlineStr">
        <is>
          <t>Atlanta Georgia</t>
        </is>
      </c>
      <c r="K142" s="11" t="inlineStr">
        <is>
          <t>+1 855-322-2057</t>
        </is>
      </c>
      <c r="L142" s="12" t="n">
        <v>1</v>
      </c>
      <c r="M142" s="11" t="inlineStr">
        <is>
          <t>66fde837a00d8e0001ff93c2</t>
        </is>
      </c>
    </row>
    <row r="143">
      <c r="A143" s="11" t="inlineStr">
        <is>
          <t>Securities counsel</t>
        </is>
      </c>
      <c r="B143" s="11" t="inlineStr">
        <is>
          <t>Steve Parker</t>
        </is>
      </c>
      <c r="C143" s="11" t="inlineStr">
        <is>
          <t>Principal</t>
        </is>
      </c>
      <c r="D143" s="11" t="inlineStr">
        <is>
          <t>Parker MacIntyre</t>
        </is>
      </c>
      <c r="E143" s="15" t="n">
        <v>2</v>
      </c>
      <c r="F143" s="11" t="inlineStr">
        <is>
          <t>riacompliancelawyer.com</t>
        </is>
      </c>
      <c r="G143" s="13" t="inlineStr">
        <is>
          <t>jsparker@parkmac.com</t>
        </is>
      </c>
      <c r="H143" s="14" t="inlineStr">
        <is>
          <t>verified</t>
        </is>
      </c>
      <c r="I143" s="13" t="inlineStr">
        <is>
          <t>/in/jstevenparker</t>
        </is>
      </c>
      <c r="J143" s="11" t="inlineStr">
        <is>
          <t>Atlanta Georgia</t>
        </is>
      </c>
      <c r="K143" s="11" t="inlineStr">
        <is>
          <t>+1 855-322-2057</t>
        </is>
      </c>
      <c r="L143" s="12" t="n">
        <v>1</v>
      </c>
      <c r="M143" s="11" t="inlineStr">
        <is>
          <t>66fde24da00d8e0001fde4bb</t>
        </is>
      </c>
    </row>
    <row r="144">
      <c r="A144" s="11" t="inlineStr">
        <is>
          <t>Securities counsel</t>
        </is>
      </c>
      <c r="B144" s="11" t="inlineStr">
        <is>
          <t>John Macdonald</t>
        </is>
      </c>
      <c r="C144" s="11" t="inlineStr">
        <is>
          <t>Partner/Shareholder</t>
        </is>
      </c>
      <c r="D144" s="11" t="inlineStr">
        <is>
          <t>Stark &amp; Stark</t>
        </is>
      </c>
      <c r="E144" s="12" t="n">
        <v>1</v>
      </c>
      <c r="F144" s="11" t="inlineStr">
        <is>
          <t>stark-stark.com</t>
        </is>
      </c>
      <c r="G144" s="11" t="inlineStr"/>
      <c r="H144" s="16" t="inlineStr">
        <is>
          <t>unavailable</t>
        </is>
      </c>
      <c r="I144" s="13" t="inlineStr">
        <is>
          <t>/in/john-macdonald-683a0b15</t>
        </is>
      </c>
      <c r="J144" s="11" t="inlineStr">
        <is>
          <t>Trenton New Jersey</t>
        </is>
      </c>
      <c r="K144" s="11" t="inlineStr">
        <is>
          <t>+1 609-896-9060</t>
        </is>
      </c>
      <c r="L144" s="12" t="n">
        <v>1</v>
      </c>
      <c r="M144" s="11" t="inlineStr">
        <is>
          <t>675be25718bb110001bd0aa2</t>
        </is>
      </c>
    </row>
    <row r="145">
      <c r="A145" s="11" t="inlineStr">
        <is>
          <t>RIA platform</t>
        </is>
      </c>
      <c r="B145" s="11" t="inlineStr">
        <is>
          <t>Harris Baltch</t>
        </is>
      </c>
      <c r="C145" s="11" t="inlineStr">
        <is>
          <t>Managing Director, Co-Head of Investment Banking</t>
        </is>
      </c>
      <c r="D145" s="11" t="inlineStr">
        <is>
          <t>Dynasty Financial Partners</t>
        </is>
      </c>
      <c r="E145" s="15" t="n">
        <v>3</v>
      </c>
      <c r="F145" s="11" t="inlineStr">
        <is>
          <t>dynastyfinancialpartners.com</t>
        </is>
      </c>
      <c r="G145" s="13" t="inlineStr">
        <is>
          <t>hbaltch@dynastyfp.com</t>
        </is>
      </c>
      <c r="H145" s="14" t="inlineStr">
        <is>
          <t>verified</t>
        </is>
      </c>
      <c r="I145" s="13" t="inlineStr">
        <is>
          <t>/in/harrisbaltch</t>
        </is>
      </c>
      <c r="J145" s="11" t="inlineStr">
        <is>
          <t>Port Washington New York</t>
        </is>
      </c>
      <c r="K145" s="11" t="inlineStr">
        <is>
          <t>+1 212-373-1000</t>
        </is>
      </c>
      <c r="L145" s="12" t="n">
        <v>1</v>
      </c>
      <c r="M145" s="11" t="inlineStr">
        <is>
          <t>65c0a0497aab320001510086</t>
        </is>
      </c>
    </row>
    <row r="146">
      <c r="A146" s="11" t="inlineStr">
        <is>
          <t>RIA platform</t>
        </is>
      </c>
      <c r="B146" s="11" t="inlineStr">
        <is>
          <t>Leslie Norman</t>
        </is>
      </c>
      <c r="C146" s="11" t="inlineStr">
        <is>
          <t>Chief Technology Officer</t>
        </is>
      </c>
      <c r="D146" s="11" t="inlineStr">
        <is>
          <t>Dynasty Financial Partners</t>
        </is>
      </c>
      <c r="E146" s="15" t="n">
        <v>3</v>
      </c>
      <c r="F146" s="11" t="inlineStr">
        <is>
          <t>dynastyfinancialpartners.com</t>
        </is>
      </c>
      <c r="G146" s="13" t="inlineStr">
        <is>
          <t>lnorman@dynastyfp.com</t>
        </is>
      </c>
      <c r="H146" s="14" t="inlineStr">
        <is>
          <t>verified</t>
        </is>
      </c>
      <c r="I146" s="13" t="inlineStr">
        <is>
          <t>/in/leslie-norman-510a7625</t>
        </is>
      </c>
      <c r="J146" s="11" t="inlineStr">
        <is>
          <t>Saint Petersburg Florida</t>
        </is>
      </c>
      <c r="K146" s="11" t="inlineStr">
        <is>
          <t>+1 212-373-1000</t>
        </is>
      </c>
      <c r="L146" s="12" t="n">
        <v>1</v>
      </c>
      <c r="M146" s="11" t="inlineStr">
        <is>
          <t>66d854100d63900001cd6598</t>
        </is>
      </c>
    </row>
    <row r="147">
      <c r="A147" s="11" t="inlineStr">
        <is>
          <t>RIA platform</t>
        </is>
      </c>
      <c r="B147" s="11" t="inlineStr">
        <is>
          <t>Marc Hineman</t>
        </is>
      </c>
      <c r="C147" s="11" t="inlineStr">
        <is>
          <t>Chief Operating Officer</t>
        </is>
      </c>
      <c r="D147" s="11" t="inlineStr">
        <is>
          <t>Dynasty Financial Partners</t>
        </is>
      </c>
      <c r="E147" s="15" t="n">
        <v>3</v>
      </c>
      <c r="F147" s="11" t="inlineStr">
        <is>
          <t>dynastyfinancialpartners.com</t>
        </is>
      </c>
      <c r="G147" s="13" t="inlineStr">
        <is>
          <t>mhineman@dynastyfp.com</t>
        </is>
      </c>
      <c r="H147" s="14" t="inlineStr">
        <is>
          <t>verified</t>
        </is>
      </c>
      <c r="I147" s="13" t="inlineStr">
        <is>
          <t>/in/marchineman</t>
        </is>
      </c>
      <c r="J147" s="11" t="inlineStr"/>
      <c r="K147" s="11" t="inlineStr">
        <is>
          <t>+1 212-373-1000</t>
        </is>
      </c>
      <c r="L147" s="12" t="n">
        <v>1</v>
      </c>
      <c r="M147" s="11" t="inlineStr">
        <is>
          <t>5fb423f482c6440001a207f7</t>
        </is>
      </c>
    </row>
    <row r="148">
      <c r="A148" s="11" t="inlineStr">
        <is>
          <t>RIA platform</t>
        </is>
      </c>
      <c r="B148" s="11" t="inlineStr">
        <is>
          <t>Eric Nothstein</t>
        </is>
      </c>
      <c r="C148" s="11" t="inlineStr">
        <is>
          <t>Managing Director, Head of Business Development</t>
        </is>
      </c>
      <c r="D148" s="11" t="inlineStr">
        <is>
          <t>Sanctuary Wealth</t>
        </is>
      </c>
      <c r="E148" s="15" t="n">
        <v>5</v>
      </c>
      <c r="F148" s="11" t="inlineStr">
        <is>
          <t>sanctuarywealth.com</t>
        </is>
      </c>
      <c r="G148" s="13" t="inlineStr">
        <is>
          <t>enothstein@sanctuarywealth.com</t>
        </is>
      </c>
      <c r="H148" s="14" t="inlineStr">
        <is>
          <t>verified</t>
        </is>
      </c>
      <c r="I148" s="13" t="inlineStr">
        <is>
          <t>/in/eric-nothstein-6098bb14</t>
        </is>
      </c>
      <c r="J148" s="11" t="inlineStr">
        <is>
          <t>New York New York</t>
        </is>
      </c>
      <c r="K148" s="11" t="inlineStr">
        <is>
          <t>+1 312-782-0400</t>
        </is>
      </c>
      <c r="L148" s="12" t="n">
        <v>1</v>
      </c>
      <c r="M148" s="11" t="inlineStr">
        <is>
          <t>66f39b6ae9fb070001c94a47</t>
        </is>
      </c>
    </row>
    <row r="149">
      <c r="A149" s="11" t="inlineStr">
        <is>
          <t>RIA platform</t>
        </is>
      </c>
      <c r="B149" s="11" t="inlineStr">
        <is>
          <t>Jene Hoosier</t>
        </is>
      </c>
      <c r="C149" s="11" t="inlineStr">
        <is>
          <t>Chief Operations Officer</t>
        </is>
      </c>
      <c r="D149" s="11" t="inlineStr">
        <is>
          <t>Sanctuary Wealth</t>
        </is>
      </c>
      <c r="E149" s="15" t="n">
        <v>5</v>
      </c>
      <c r="F149" s="11" t="inlineStr">
        <is>
          <t>sanctuarywealth.com</t>
        </is>
      </c>
      <c r="G149" s="13" t="inlineStr">
        <is>
          <t>jhoosier@sanctuarywealth.com</t>
        </is>
      </c>
      <c r="H149" s="14" t="inlineStr">
        <is>
          <t>verified</t>
        </is>
      </c>
      <c r="I149" s="13" t="inlineStr">
        <is>
          <t>/in/jene-hoosier-73a82640</t>
        </is>
      </c>
      <c r="J149" s="11" t="inlineStr">
        <is>
          <t>Redlands California</t>
        </is>
      </c>
      <c r="K149" s="11" t="inlineStr">
        <is>
          <t>+1 312-782-0400</t>
        </is>
      </c>
      <c r="L149" s="12" t="n">
        <v>1</v>
      </c>
      <c r="M149" s="11" t="inlineStr">
        <is>
          <t>66f5746a10496c00017b9de8</t>
        </is>
      </c>
    </row>
    <row r="150">
      <c r="A150" s="11" t="inlineStr">
        <is>
          <t>RIA platform</t>
        </is>
      </c>
      <c r="B150" s="11" t="inlineStr">
        <is>
          <t>Richard Williams</t>
        </is>
      </c>
      <c r="C150" s="11" t="inlineStr">
        <is>
          <t>Managing Director, Head of Advisor Solutions</t>
        </is>
      </c>
      <c r="D150" s="11" t="inlineStr">
        <is>
          <t>Sanctuary Wealth</t>
        </is>
      </c>
      <c r="E150" s="15" t="n">
        <v>5</v>
      </c>
      <c r="F150" s="11" t="inlineStr">
        <is>
          <t>sanctuarywealth.com</t>
        </is>
      </c>
      <c r="G150" s="13" t="inlineStr">
        <is>
          <t>rwilliams@sanctuarywealth.com</t>
        </is>
      </c>
      <c r="H150" s="14" t="inlineStr">
        <is>
          <t>verified</t>
        </is>
      </c>
      <c r="I150" s="13" t="inlineStr">
        <is>
          <t>/in/richard-williams-0535751b</t>
        </is>
      </c>
      <c r="J150" s="11" t="inlineStr">
        <is>
          <t>Austin Texas</t>
        </is>
      </c>
      <c r="K150" s="11" t="inlineStr">
        <is>
          <t>+1 312-782-0400</t>
        </is>
      </c>
      <c r="L150" s="12" t="n">
        <v>1</v>
      </c>
      <c r="M150" s="11" t="inlineStr">
        <is>
          <t>66f30f5054eab8000166f194</t>
        </is>
      </c>
    </row>
    <row r="151">
      <c r="A151" s="11" t="inlineStr">
        <is>
          <t>RIA platform</t>
        </is>
      </c>
      <c r="B151" s="11" t="inlineStr">
        <is>
          <t>Robert Coppola</t>
        </is>
      </c>
      <c r="C151" s="11" t="inlineStr">
        <is>
          <t>CTO</t>
        </is>
      </c>
      <c r="D151" s="11" t="inlineStr">
        <is>
          <t>Sanctuary Wealth</t>
        </is>
      </c>
      <c r="E151" s="15" t="n">
        <v>5</v>
      </c>
      <c r="F151" s="11" t="inlineStr">
        <is>
          <t>sanctuarywealth.com</t>
        </is>
      </c>
      <c r="G151" s="11" t="inlineStr"/>
      <c r="H151" s="16" t="inlineStr">
        <is>
          <t>unavailable</t>
        </is>
      </c>
      <c r="I151" s="13" t="inlineStr">
        <is>
          <t>/in/bobcoppola</t>
        </is>
      </c>
      <c r="J151" s="11" t="inlineStr">
        <is>
          <t>Philadelphia Pennsylvania</t>
        </is>
      </c>
      <c r="K151" s="11" t="inlineStr">
        <is>
          <t>+1 312-782-0400</t>
        </is>
      </c>
      <c r="L151" s="12" t="n">
        <v>1</v>
      </c>
      <c r="M151" s="11" t="inlineStr">
        <is>
          <t>6112cc65469f0d0001725846</t>
        </is>
      </c>
    </row>
    <row r="152">
      <c r="A152" s="11" t="inlineStr">
        <is>
          <t>RIA platform</t>
        </is>
      </c>
      <c r="B152" s="11" t="inlineStr">
        <is>
          <t>Robert Walter</t>
        </is>
      </c>
      <c r="C152" s="11" t="inlineStr">
        <is>
          <t>President Sanctuary Wealth</t>
        </is>
      </c>
      <c r="D152" s="11" t="inlineStr">
        <is>
          <t>Sanctuary Wealth</t>
        </is>
      </c>
      <c r="E152" s="15" t="n">
        <v>5</v>
      </c>
      <c r="F152" s="11" t="inlineStr">
        <is>
          <t>sanctuarywealth.com</t>
        </is>
      </c>
      <c r="G152" s="13" t="inlineStr">
        <is>
          <t>rwalter@sanctuarywealth.com</t>
        </is>
      </c>
      <c r="H152" s="14" t="inlineStr">
        <is>
          <t>verified</t>
        </is>
      </c>
      <c r="I152" s="13" t="inlineStr">
        <is>
          <t>/in/robert-walter-525b5237</t>
        </is>
      </c>
      <c r="J152" s="11" t="inlineStr">
        <is>
          <t>Miami Florida</t>
        </is>
      </c>
      <c r="K152" s="11" t="inlineStr">
        <is>
          <t>+1 312-782-0400</t>
        </is>
      </c>
      <c r="L152" s="12" t="n">
        <v>1</v>
      </c>
      <c r="M152" s="11" t="inlineStr">
        <is>
          <t>66ff50cb3f12c90001deca28</t>
        </is>
      </c>
    </row>
    <row r="153">
      <c r="A153" s="11" t="inlineStr">
        <is>
          <t>RIA M&amp;A advisor</t>
        </is>
      </c>
      <c r="B153" s="11" t="inlineStr">
        <is>
          <t>Brandon Kawal</t>
        </is>
      </c>
      <c r="C153" s="11" t="inlineStr">
        <is>
          <t>Partner</t>
        </is>
      </c>
      <c r="D153" s="11" t="inlineStr">
        <is>
          <t>Advisor Growth Strategies LLC</t>
        </is>
      </c>
      <c r="E153" s="12" t="n">
        <v>1</v>
      </c>
      <c r="F153" s="11" t="inlineStr">
        <is>
          <t>advisorgrowthllc.com</t>
        </is>
      </c>
      <c r="G153" s="13" t="inlineStr">
        <is>
          <t>bkawal@advisorgrowthllc.com</t>
        </is>
      </c>
      <c r="H153" s="14" t="inlineStr">
        <is>
          <t>verified</t>
        </is>
      </c>
      <c r="I153" s="13" t="inlineStr">
        <is>
          <t>/in/brandonkawal</t>
        </is>
      </c>
      <c r="J153" s="11" t="inlineStr">
        <is>
          <t>Phoenix Arizona</t>
        </is>
      </c>
      <c r="K153" s="11" t="inlineStr">
        <is>
          <t>+1 480-245-5094</t>
        </is>
      </c>
      <c r="L153" s="12" t="n">
        <v>1</v>
      </c>
      <c r="M153" s="11" t="inlineStr">
        <is>
          <t>60feef6cb727d10001f60a61</t>
        </is>
      </c>
    </row>
    <row r="154">
      <c r="A154" s="11" t="inlineStr">
        <is>
          <t>RIA M&amp;A advisor</t>
        </is>
      </c>
      <c r="B154" s="11" t="inlineStr">
        <is>
          <t>Aryeh Malitzky</t>
        </is>
      </c>
      <c r="C154" s="11" t="inlineStr">
        <is>
          <t>Managing Director</t>
        </is>
      </c>
      <c r="D154" s="11" t="inlineStr">
        <is>
          <t>DeVoe &amp; Company</t>
        </is>
      </c>
      <c r="E154" s="15" t="n">
        <v>5</v>
      </c>
      <c r="F154" s="11" t="inlineStr">
        <is>
          <t>devoeandcompany.com</t>
        </is>
      </c>
      <c r="G154" s="13" t="inlineStr">
        <is>
          <t>aryeh.malitzky@devoe-co.com</t>
        </is>
      </c>
      <c r="H154" s="14" t="inlineStr">
        <is>
          <t>verified</t>
        </is>
      </c>
      <c r="I154" s="13" t="inlineStr">
        <is>
          <t>/in/aryeh-malitzky-14435642</t>
        </is>
      </c>
      <c r="J154" s="11" t="inlineStr">
        <is>
          <t>Baltimore Maryland</t>
        </is>
      </c>
      <c r="K154" s="11" t="inlineStr">
        <is>
          <t>+1 415-813-5066</t>
        </is>
      </c>
      <c r="L154" s="12" t="n">
        <v>1</v>
      </c>
      <c r="M154" s="11" t="inlineStr">
        <is>
          <t>54a745937468696b7fd1f624</t>
        </is>
      </c>
    </row>
    <row r="155">
      <c r="A155" s="11" t="inlineStr">
        <is>
          <t>RIA M&amp;A advisor</t>
        </is>
      </c>
      <c r="B155" s="11" t="inlineStr">
        <is>
          <t>Douglas Johnson</t>
        </is>
      </c>
      <c r="C155" s="11" t="inlineStr">
        <is>
          <t>Managing Director</t>
        </is>
      </c>
      <c r="D155" s="11" t="inlineStr">
        <is>
          <t>DeVoe &amp; Company</t>
        </is>
      </c>
      <c r="E155" s="15" t="n">
        <v>5</v>
      </c>
      <c r="F155" s="11" t="inlineStr">
        <is>
          <t>devoeandcompany.com</t>
        </is>
      </c>
      <c r="G155" s="13" t="inlineStr">
        <is>
          <t>doug.johnson@devoe-co.com</t>
        </is>
      </c>
      <c r="H155" s="14" t="inlineStr">
        <is>
          <t>verified</t>
        </is>
      </c>
      <c r="I155" s="13" t="inlineStr">
        <is>
          <t>/in/a-douglas-johnson-696a06</t>
        </is>
      </c>
      <c r="J155" s="11" t="inlineStr">
        <is>
          <t>Seattle Washington</t>
        </is>
      </c>
      <c r="K155" s="11" t="inlineStr">
        <is>
          <t>+1 415-813-5066</t>
        </is>
      </c>
      <c r="L155" s="12" t="n">
        <v>1</v>
      </c>
      <c r="M155" s="11" t="inlineStr">
        <is>
          <t>5570a2397369646e2d611900</t>
        </is>
      </c>
    </row>
    <row r="156">
      <c r="A156" s="11" t="inlineStr">
        <is>
          <t>RIA M&amp;A advisor</t>
        </is>
      </c>
      <c r="B156" s="11" t="inlineStr">
        <is>
          <t>Gordon Ross</t>
        </is>
      </c>
      <c r="C156" s="11" t="inlineStr">
        <is>
          <t>President</t>
        </is>
      </c>
      <c r="D156" s="11" t="inlineStr">
        <is>
          <t>DeVoe &amp; Company</t>
        </is>
      </c>
      <c r="E156" s="15" t="n">
        <v>5</v>
      </c>
      <c r="F156" s="11" t="inlineStr">
        <is>
          <t>devoeandcompany.com</t>
        </is>
      </c>
      <c r="G156" s="13" t="inlineStr">
        <is>
          <t>gordon.ross@devoe-co.com</t>
        </is>
      </c>
      <c r="H156" s="14" t="inlineStr">
        <is>
          <t>verified</t>
        </is>
      </c>
      <c r="I156" s="13" t="inlineStr">
        <is>
          <t>/in/gordonross-gla</t>
        </is>
      </c>
      <c r="J156" s="11" t="inlineStr">
        <is>
          <t>Saint Petersburg Florida</t>
        </is>
      </c>
      <c r="K156" s="11" t="inlineStr">
        <is>
          <t>+1 415-813-5066</t>
        </is>
      </c>
      <c r="L156" s="12" t="n">
        <v>1</v>
      </c>
      <c r="M156" s="11" t="inlineStr">
        <is>
          <t>66f990f5e64ec000010f907f</t>
        </is>
      </c>
    </row>
    <row r="157">
      <c r="A157" s="11" t="inlineStr">
        <is>
          <t>RIA M&amp;A advisor</t>
        </is>
      </c>
      <c r="B157" s="11" t="inlineStr">
        <is>
          <t>Hoyt Stastney</t>
        </is>
      </c>
      <c r="C157" s="11" t="inlineStr">
        <is>
          <t>Managing Director and General Counsel</t>
        </is>
      </c>
      <c r="D157" s="11" t="inlineStr">
        <is>
          <t>DeVoe &amp; Company</t>
        </is>
      </c>
      <c r="E157" s="15" t="n">
        <v>5</v>
      </c>
      <c r="F157" s="11" t="inlineStr">
        <is>
          <t>devoeandcompany.com</t>
        </is>
      </c>
      <c r="G157" s="13" t="inlineStr">
        <is>
          <t>hoyt.stastney@devoe-co.com</t>
        </is>
      </c>
      <c r="H157" s="14" t="inlineStr">
        <is>
          <t>verified</t>
        </is>
      </c>
      <c r="I157" s="13" t="inlineStr">
        <is>
          <t>/in/hoyt-stastney</t>
        </is>
      </c>
      <c r="J157" s="11" t="inlineStr">
        <is>
          <t>Sturgeon Bay Wisconsin</t>
        </is>
      </c>
      <c r="K157" s="11" t="inlineStr">
        <is>
          <t>+1 415-813-5066</t>
        </is>
      </c>
      <c r="L157" s="12" t="n">
        <v>1</v>
      </c>
      <c r="M157" s="11" t="inlineStr">
        <is>
          <t>5ffee1f54af143000122e82a</t>
        </is>
      </c>
    </row>
    <row r="158">
      <c r="A158" s="11" t="inlineStr">
        <is>
          <t>RIA M&amp;A advisor</t>
        </is>
      </c>
      <c r="B158" s="11" t="inlineStr">
        <is>
          <t>Tom Valverde</t>
        </is>
      </c>
      <c r="C158" s="11" t="inlineStr">
        <is>
          <t>Managing Director</t>
        </is>
      </c>
      <c r="D158" s="11" t="inlineStr">
        <is>
          <t>DeVoe &amp; Company</t>
        </is>
      </c>
      <c r="E158" s="15" t="n">
        <v>5</v>
      </c>
      <c r="F158" s="11" t="inlineStr">
        <is>
          <t>devoeandcompany.com</t>
        </is>
      </c>
      <c r="G158" s="13" t="inlineStr">
        <is>
          <t>tom.valverde@devoe-co.com</t>
        </is>
      </c>
      <c r="H158" s="14" t="inlineStr">
        <is>
          <t>verified</t>
        </is>
      </c>
      <c r="I158" s="13" t="inlineStr">
        <is>
          <t>/in/tom-valverde-725ab832</t>
        </is>
      </c>
      <c r="J158" s="11" t="inlineStr">
        <is>
          <t>Chicago Illinois</t>
        </is>
      </c>
      <c r="K158" s="11" t="inlineStr">
        <is>
          <t>+1 415-813-5066</t>
        </is>
      </c>
      <c r="L158" s="12" t="n">
        <v>1</v>
      </c>
      <c r="M158" s="11" t="inlineStr">
        <is>
          <t>54a7d33974686965d9b33353</t>
        </is>
      </c>
    </row>
    <row r="159">
      <c r="A159" s="11" t="inlineStr">
        <is>
          <t>Fund administrator</t>
        </is>
      </c>
      <c r="B159" s="11" t="inlineStr">
        <is>
          <t>Casper Calisin</t>
        </is>
      </c>
      <c r="C159" s="11" t="inlineStr">
        <is>
          <t>Managing Director</t>
        </is>
      </c>
      <c r="D159" s="11" t="inlineStr">
        <is>
          <t>HC Global Fund Services, LLC</t>
        </is>
      </c>
      <c r="E159" s="15" t="n">
        <v>2</v>
      </c>
      <c r="F159" s="11" t="inlineStr">
        <is>
          <t>hcglobalfs.com</t>
        </is>
      </c>
      <c r="G159" s="13" t="inlineStr">
        <is>
          <t>ccalisin@hcglobalfs.com</t>
        </is>
      </c>
      <c r="H159" s="14" t="inlineStr">
        <is>
          <t>verified</t>
        </is>
      </c>
      <c r="I159" s="13" t="inlineStr">
        <is>
          <t>/in/casper-calisin-61a2b19</t>
        </is>
      </c>
      <c r="J159" s="11" t="inlineStr">
        <is>
          <t>Emeryville California</t>
        </is>
      </c>
      <c r="K159" s="11" t="inlineStr">
        <is>
          <t>+1 415-796-7520</t>
        </is>
      </c>
      <c r="L159" s="12" t="n">
        <v>1</v>
      </c>
      <c r="M159" s="11" t="inlineStr">
        <is>
          <t>55714ad27369642bd90e4500</t>
        </is>
      </c>
    </row>
    <row r="160">
      <c r="A160" s="11" t="inlineStr">
        <is>
          <t>Fund administrator</t>
        </is>
      </c>
      <c r="B160" s="11" t="inlineStr">
        <is>
          <t>Nick Pasco</t>
        </is>
      </c>
      <c r="C160" s="11" t="inlineStr">
        <is>
          <t>Managing Director</t>
        </is>
      </c>
      <c r="D160" s="11" t="inlineStr">
        <is>
          <t>HC Global Fund Services, LLC</t>
        </is>
      </c>
      <c r="E160" s="15" t="n">
        <v>2</v>
      </c>
      <c r="F160" s="11" t="inlineStr">
        <is>
          <t>hcglobalfs.com</t>
        </is>
      </c>
      <c r="G160" s="13" t="inlineStr">
        <is>
          <t>npasco@hcglobalfs.com</t>
        </is>
      </c>
      <c r="H160" s="14" t="inlineStr">
        <is>
          <t>verified</t>
        </is>
      </c>
      <c r="I160" s="13" t="inlineStr">
        <is>
          <t>/in/nick-pasco-77627a2</t>
        </is>
      </c>
      <c r="J160" s="11" t="inlineStr">
        <is>
          <t>San Francisco California</t>
        </is>
      </c>
      <c r="K160" s="11" t="inlineStr">
        <is>
          <t>+1 415-796-7520</t>
        </is>
      </c>
      <c r="L160" s="12" t="n">
        <v>1</v>
      </c>
      <c r="M160" s="11" t="inlineStr">
        <is>
          <t>6082ec1c1540700001fbb984</t>
        </is>
      </c>
    </row>
    <row r="161">
      <c r="A161" s="11" t="inlineStr">
        <is>
          <t>Fund administrator</t>
        </is>
      </c>
      <c r="B161" s="11" t="inlineStr">
        <is>
          <t>Ambuj Garg</t>
        </is>
      </c>
      <c r="C161" s="11" t="inlineStr">
        <is>
          <t>Chief Operating Officer</t>
        </is>
      </c>
      <c r="D161" s="11" t="inlineStr">
        <is>
          <t>NAV Fund Services</t>
        </is>
      </c>
      <c r="E161" s="15" t="n">
        <v>2</v>
      </c>
      <c r="F161" s="11" t="inlineStr">
        <is>
          <t>navfundservices.com</t>
        </is>
      </c>
      <c r="G161" s="13" t="inlineStr">
        <is>
          <t>ambuj.garg@navconsulting.net</t>
        </is>
      </c>
      <c r="H161" s="14" t="inlineStr">
        <is>
          <t>verified</t>
        </is>
      </c>
      <c r="I161" s="13" t="inlineStr">
        <is>
          <t>/in/ambuj-garg-b8769244</t>
        </is>
      </c>
      <c r="J161" s="11" t="inlineStr">
        <is>
          <t>Chicago Illinois</t>
        </is>
      </c>
      <c r="K161" s="11" t="inlineStr">
        <is>
          <t>+1 630-954-1919</t>
        </is>
      </c>
      <c r="L161" s="12" t="n">
        <v>1</v>
      </c>
      <c r="M161" s="11" t="inlineStr">
        <is>
          <t>66fa8107900bf9000168fdc7</t>
        </is>
      </c>
    </row>
    <row r="162">
      <c r="A162" s="11" t="inlineStr">
        <is>
          <t>Fund administrator</t>
        </is>
      </c>
      <c r="B162" s="11" t="inlineStr">
        <is>
          <t>Nav Gupta</t>
        </is>
      </c>
      <c r="C162" s="11" t="inlineStr">
        <is>
          <t>CEO</t>
        </is>
      </c>
      <c r="D162" s="11" t="inlineStr">
        <is>
          <t>NAV Fund Services</t>
        </is>
      </c>
      <c r="E162" s="15" t="n">
        <v>2</v>
      </c>
      <c r="F162" s="11" t="inlineStr">
        <is>
          <t>navfundservices.com</t>
        </is>
      </c>
      <c r="G162" s="13" t="inlineStr">
        <is>
          <t>nav@navconsulting.net</t>
        </is>
      </c>
      <c r="H162" s="14" t="inlineStr">
        <is>
          <t>verified</t>
        </is>
      </c>
      <c r="I162" s="13" t="inlineStr">
        <is>
          <t>/in/nav-gupta-6b385b7</t>
        </is>
      </c>
      <c r="J162" s="11" t="inlineStr">
        <is>
          <t>Oak Brook Illinois</t>
        </is>
      </c>
      <c r="K162" s="11" t="inlineStr">
        <is>
          <t>+1 630-954-1919</t>
        </is>
      </c>
      <c r="L162" s="12" t="n">
        <v>1</v>
      </c>
      <c r="M162" s="11" t="inlineStr">
        <is>
          <t>60083de1d171bb00014754a1</t>
        </is>
      </c>
    </row>
    <row r="163">
      <c r="A163" s="11" t="inlineStr">
        <is>
          <t>Fund administrator</t>
        </is>
      </c>
      <c r="B163" s="11" t="inlineStr">
        <is>
          <t>Jeff Bernstein</t>
        </is>
      </c>
      <c r="C163" s="11" t="inlineStr">
        <is>
          <t>Vice President</t>
        </is>
      </c>
      <c r="D163" s="11" t="inlineStr">
        <is>
          <t>Opus Fund Services</t>
        </is>
      </c>
      <c r="E163" s="15" t="n">
        <v>3</v>
      </c>
      <c r="F163" s="11" t="inlineStr">
        <is>
          <t>opusfundservices.com</t>
        </is>
      </c>
      <c r="G163" s="13" t="inlineStr">
        <is>
          <t>jbernstein@opusfundservices.com</t>
        </is>
      </c>
      <c r="H163" s="14" t="inlineStr">
        <is>
          <t>verified</t>
        </is>
      </c>
      <c r="I163" s="13" t="inlineStr">
        <is>
          <t>/in/jeff-bernstein-60635145</t>
        </is>
      </c>
      <c r="J163" s="11" t="inlineStr">
        <is>
          <t>San Francisco California</t>
        </is>
      </c>
      <c r="K163" s="11" t="inlineStr">
        <is>
          <t>+1 312-256-9974</t>
        </is>
      </c>
      <c r="L163" s="12" t="n">
        <v>1</v>
      </c>
      <c r="M163" s="11" t="inlineStr">
        <is>
          <t>640f25aa2c3f2c00013bb17a</t>
        </is>
      </c>
    </row>
    <row r="164">
      <c r="A164" s="11" t="inlineStr">
        <is>
          <t>Fund administrator</t>
        </is>
      </c>
      <c r="B164" s="11" t="inlineStr">
        <is>
          <t>Mike Canni</t>
        </is>
      </c>
      <c r="C164" s="11" t="inlineStr">
        <is>
          <t>COO</t>
        </is>
      </c>
      <c r="D164" s="11" t="inlineStr">
        <is>
          <t>Opus Fund Services</t>
        </is>
      </c>
      <c r="E164" s="15" t="n">
        <v>3</v>
      </c>
      <c r="F164" s="11" t="inlineStr">
        <is>
          <t>opusfundservices.com</t>
        </is>
      </c>
      <c r="G164" s="13" t="inlineStr">
        <is>
          <t>mcanni@opusfundservices.com</t>
        </is>
      </c>
      <c r="H164" s="14" t="inlineStr">
        <is>
          <t>verified</t>
        </is>
      </c>
      <c r="I164" s="13" t="inlineStr">
        <is>
          <t>/in/mohsen01</t>
        </is>
      </c>
      <c r="J164" s="11" t="inlineStr">
        <is>
          <t>San Francisco California</t>
        </is>
      </c>
      <c r="K164" s="11" t="inlineStr">
        <is>
          <t>+1 312-256-9974</t>
        </is>
      </c>
      <c r="L164" s="12" t="n">
        <v>1</v>
      </c>
      <c r="M164" s="11" t="inlineStr">
        <is>
          <t>64579574adf2460001816419</t>
        </is>
      </c>
    </row>
    <row r="165">
      <c r="A165" s="11" t="inlineStr">
        <is>
          <t>Fund administrator</t>
        </is>
      </c>
      <c r="B165" s="11" t="inlineStr">
        <is>
          <t>Robert Ansell</t>
        </is>
      </c>
      <c r="C165" s="11" t="inlineStr">
        <is>
          <t>Director, Business Development</t>
        </is>
      </c>
      <c r="D165" s="11" t="inlineStr">
        <is>
          <t>Opus Fund Services</t>
        </is>
      </c>
      <c r="E165" s="15" t="n">
        <v>3</v>
      </c>
      <c r="F165" s="11" t="inlineStr">
        <is>
          <t>opusfundservices.com</t>
        </is>
      </c>
      <c r="G165" s="13" t="inlineStr">
        <is>
          <t>ransell@opusfundservices.com</t>
        </is>
      </c>
      <c r="H165" s="14" t="inlineStr">
        <is>
          <t>verified</t>
        </is>
      </c>
      <c r="I165" s="13" t="inlineStr">
        <is>
          <t>/in/robert-ansell-015aab255</t>
        </is>
      </c>
      <c r="J165" s="11" t="inlineStr">
        <is>
          <t>Greenwich Connecticut</t>
        </is>
      </c>
      <c r="K165" s="11" t="inlineStr">
        <is>
          <t>+1 312-256-9974</t>
        </is>
      </c>
      <c r="L165" s="12" t="n">
        <v>1</v>
      </c>
      <c r="M165" s="11" t="inlineStr">
        <is>
          <t>64256d2bc36c7000012aa669</t>
        </is>
      </c>
    </row>
    <row r="166">
      <c r="A166" s="11" t="inlineStr">
        <is>
          <t>Adjacent / weaker fit</t>
        </is>
      </c>
      <c r="B166" s="11" t="inlineStr">
        <is>
          <t>Hanh Nguyen</t>
        </is>
      </c>
      <c r="C166" s="11" t="inlineStr">
        <is>
          <t>Founder</t>
        </is>
      </c>
      <c r="D166" s="11" t="inlineStr">
        <is>
          <t>Complect</t>
        </is>
      </c>
      <c r="E166" s="12" t="n">
        <v>1</v>
      </c>
      <c r="F166" s="11" t="inlineStr">
        <is>
          <t>complect.com</t>
        </is>
      </c>
      <c r="G166" s="13" t="inlineStr">
        <is>
          <t>hanh@complect.com</t>
        </is>
      </c>
      <c r="H166" s="14" t="inlineStr">
        <is>
          <t>verified</t>
        </is>
      </c>
      <c r="I166" s="13" t="inlineStr">
        <is>
          <t>/in/hanh-t-nguyen</t>
        </is>
      </c>
      <c r="J166" s="11" t="inlineStr">
        <is>
          <t>Richmond Virginia</t>
        </is>
      </c>
      <c r="K166" s="11" t="inlineStr">
        <is>
          <t>+1 347-618-9656</t>
        </is>
      </c>
      <c r="L166" s="12" t="n">
        <v>3</v>
      </c>
      <c r="M166" s="11" t="inlineStr">
        <is>
          <t>603f1fa7ac9c000001c232a4</t>
        </is>
      </c>
    </row>
    <row r="167">
      <c r="A167" s="11" t="inlineStr">
        <is>
          <t>Adjacent / weaker fit</t>
        </is>
      </c>
      <c r="B167" s="11" t="inlineStr">
        <is>
          <t>Wilfredo Rodriguez</t>
        </is>
      </c>
      <c r="C167" s="11" t="inlineStr">
        <is>
          <t>CEO and Founder</t>
        </is>
      </c>
      <c r="D167" s="11" t="inlineStr">
        <is>
          <t>DSF Advisors LLC</t>
        </is>
      </c>
      <c r="E167" s="12" t="n">
        <v>1</v>
      </c>
      <c r="F167" s="11" t="inlineStr">
        <is>
          <t>dsfadv.com</t>
        </is>
      </c>
      <c r="G167" s="13" t="inlineStr">
        <is>
          <t>wrodriguez@dsfadv.com</t>
        </is>
      </c>
      <c r="H167" s="14" t="inlineStr">
        <is>
          <t>verified</t>
        </is>
      </c>
      <c r="I167" s="13" t="inlineStr">
        <is>
          <t>/in/wilfredocpa</t>
        </is>
      </c>
      <c r="J167" s="11" t="inlineStr">
        <is>
          <t>New York New York</t>
        </is>
      </c>
      <c r="K167" s="11" t="inlineStr">
        <is>
          <t>+1 832-724-7173</t>
        </is>
      </c>
      <c r="L167" s="12" t="n">
        <v>3</v>
      </c>
      <c r="M167" s="11" t="inlineStr">
        <is>
          <t>602498dca0fda20001fdd789</t>
        </is>
      </c>
    </row>
    <row r="168">
      <c r="A168" s="11" t="inlineStr">
        <is>
          <t>Adjacent / weaker fit</t>
        </is>
      </c>
      <c r="B168" s="11" t="inlineStr">
        <is>
          <t>Matthew Lourie</t>
        </is>
      </c>
      <c r="C168" s="11" t="inlineStr">
        <is>
          <t>Founder and CEO</t>
        </is>
      </c>
      <c r="D168" s="11" t="inlineStr">
        <is>
          <t>Fresh Notion Group</t>
        </is>
      </c>
      <c r="E168" s="12" t="n">
        <v>1</v>
      </c>
      <c r="F168" s="11" t="inlineStr">
        <is>
          <t>freshnotiongroup.com</t>
        </is>
      </c>
      <c r="G168" s="13" t="inlineStr">
        <is>
          <t>mlourie@freshnotiongroup.com</t>
        </is>
      </c>
      <c r="H168" s="14" t="inlineStr">
        <is>
          <t>verified</t>
        </is>
      </c>
      <c r="I168" s="13" t="inlineStr">
        <is>
          <t>/in/matthew-lourie-19b12a15</t>
        </is>
      </c>
      <c r="J168" s="11" t="inlineStr">
        <is>
          <t>St. Louis Missouri</t>
        </is>
      </c>
      <c r="K168" s="11" t="inlineStr">
        <is>
          <t>+1 832-277-7816</t>
        </is>
      </c>
      <c r="L168" s="12" t="n">
        <v>3</v>
      </c>
      <c r="M168" s="11" t="inlineStr">
        <is>
          <t>54a434a87468692abf5ea934</t>
        </is>
      </c>
    </row>
    <row r="169">
      <c r="A169" s="11" t="inlineStr">
        <is>
          <t>Adjacent / weaker fit</t>
        </is>
      </c>
      <c r="B169" s="11" t="inlineStr">
        <is>
          <t>Matthew Judge</t>
        </is>
      </c>
      <c r="C169" s="11" t="inlineStr">
        <is>
          <t>CEO and Founder</t>
        </is>
      </c>
      <c r="D169" s="11" t="inlineStr">
        <is>
          <t>Genesis Filings, LLC</t>
        </is>
      </c>
      <c r="E169" s="12" t="n">
        <v>1</v>
      </c>
      <c r="F169" s="11" t="inlineStr">
        <is>
          <t>genesisfilings.com</t>
        </is>
      </c>
      <c r="G169" s="13" t="inlineStr">
        <is>
          <t>mjudge@genesisfilings.com</t>
        </is>
      </c>
      <c r="H169" s="14" t="inlineStr">
        <is>
          <t>verified</t>
        </is>
      </c>
      <c r="I169" s="13" t="inlineStr">
        <is>
          <t>/in/matthew-judge74</t>
        </is>
      </c>
      <c r="J169" s="11" t="inlineStr">
        <is>
          <t>Madison New Jersey</t>
        </is>
      </c>
      <c r="K169" s="11" t="inlineStr">
        <is>
          <t>+1 973-867-7097</t>
        </is>
      </c>
      <c r="L169" s="12" t="n">
        <v>3</v>
      </c>
      <c r="M169" s="11" t="inlineStr">
        <is>
          <t>64033d7be6c0310001cf9f30</t>
        </is>
      </c>
    </row>
    <row r="170">
      <c r="A170" s="11" t="inlineStr">
        <is>
          <t>Adjacent / weaker fit</t>
        </is>
      </c>
      <c r="B170" s="11" t="inlineStr">
        <is>
          <t>Charles Steerman</t>
        </is>
      </c>
      <c r="C170" s="11" t="inlineStr">
        <is>
          <t>Founder/COO</t>
        </is>
      </c>
      <c r="D170" s="11" t="inlineStr">
        <is>
          <t>Skematic</t>
        </is>
      </c>
      <c r="E170" s="15" t="n">
        <v>2</v>
      </c>
      <c r="F170" s="11" t="inlineStr">
        <is>
          <t>skematic.com</t>
        </is>
      </c>
      <c r="G170" s="13" t="inlineStr">
        <is>
          <t>charles@skematic.com</t>
        </is>
      </c>
      <c r="H170" s="14" t="inlineStr">
        <is>
          <t>verified</t>
        </is>
      </c>
      <c r="I170" s="13" t="inlineStr">
        <is>
          <t>/in/charles-steerman-9ab4134</t>
        </is>
      </c>
      <c r="J170" s="11" t="inlineStr">
        <is>
          <t>New York New York</t>
        </is>
      </c>
      <c r="K170" s="11" t="inlineStr">
        <is>
          <t>+1 512-827-8254</t>
        </is>
      </c>
      <c r="L170" s="12" t="n">
        <v>3</v>
      </c>
      <c r="M170" s="11" t="inlineStr">
        <is>
          <t>610849381c2c010001947d6b</t>
        </is>
      </c>
    </row>
    <row r="171">
      <c r="A171" s="11" t="inlineStr">
        <is>
          <t>Adjacent / weaker fit</t>
        </is>
      </c>
      <c r="B171" s="11" t="inlineStr">
        <is>
          <t>George Quinn</t>
        </is>
      </c>
      <c r="C171" s="11" t="inlineStr">
        <is>
          <t>CEO &amp; Founder</t>
        </is>
      </c>
      <c r="D171" s="11" t="inlineStr">
        <is>
          <t>TBH Consulting LLC</t>
        </is>
      </c>
      <c r="E171" s="12" t="n">
        <v>1</v>
      </c>
      <c r="F171" s="11" t="inlineStr">
        <is>
          <t>tbhconsulting.com</t>
        </is>
      </c>
      <c r="G171" s="13" t="inlineStr">
        <is>
          <t>george.quinn@tbhconsulting.com</t>
        </is>
      </c>
      <c r="H171" s="14" t="inlineStr">
        <is>
          <t>verified</t>
        </is>
      </c>
      <c r="I171" s="13" t="inlineStr">
        <is>
          <t>/in/george-quinn-72158389</t>
        </is>
      </c>
      <c r="J171" s="11" t="inlineStr">
        <is>
          <t>Charlotte North Carolina</t>
        </is>
      </c>
      <c r="K171" s="11" t="inlineStr">
        <is>
          <t>+1 704-773-1260</t>
        </is>
      </c>
      <c r="L171" s="12" t="n">
        <v>3</v>
      </c>
      <c r="M171" s="11" t="inlineStr">
        <is>
          <t>66f7a21dfa32f90001857169</t>
        </is>
      </c>
    </row>
  </sheetData>
  <autoFilter ref="A1:M171"/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G3" r:id="rId3"/>
    <hyperlink xmlns:r="http://schemas.openxmlformats.org/officeDocument/2006/relationships" ref="I3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I7" r:id="rId11"/>
    <hyperlink xmlns:r="http://schemas.openxmlformats.org/officeDocument/2006/relationships" ref="I8" r:id="rId12"/>
    <hyperlink xmlns:r="http://schemas.openxmlformats.org/officeDocument/2006/relationships" ref="G9" r:id="rId13"/>
    <hyperlink xmlns:r="http://schemas.openxmlformats.org/officeDocument/2006/relationships" ref="I9" r:id="rId14"/>
    <hyperlink xmlns:r="http://schemas.openxmlformats.org/officeDocument/2006/relationships" ref="G10" r:id="rId15"/>
    <hyperlink xmlns:r="http://schemas.openxmlformats.org/officeDocument/2006/relationships" ref="I10" r:id="rId16"/>
    <hyperlink xmlns:r="http://schemas.openxmlformats.org/officeDocument/2006/relationships" ref="G11" r:id="rId17"/>
    <hyperlink xmlns:r="http://schemas.openxmlformats.org/officeDocument/2006/relationships" ref="I11" r:id="rId18"/>
    <hyperlink xmlns:r="http://schemas.openxmlformats.org/officeDocument/2006/relationships" ref="G12" r:id="rId19"/>
    <hyperlink xmlns:r="http://schemas.openxmlformats.org/officeDocument/2006/relationships" ref="I12" r:id="rId20"/>
    <hyperlink xmlns:r="http://schemas.openxmlformats.org/officeDocument/2006/relationships" ref="G13" r:id="rId21"/>
    <hyperlink xmlns:r="http://schemas.openxmlformats.org/officeDocument/2006/relationships" ref="I13" r:id="rId22"/>
    <hyperlink xmlns:r="http://schemas.openxmlformats.org/officeDocument/2006/relationships" ref="G14" r:id="rId23"/>
    <hyperlink xmlns:r="http://schemas.openxmlformats.org/officeDocument/2006/relationships" ref="I14" r:id="rId24"/>
    <hyperlink xmlns:r="http://schemas.openxmlformats.org/officeDocument/2006/relationships" ref="G15" r:id="rId25"/>
    <hyperlink xmlns:r="http://schemas.openxmlformats.org/officeDocument/2006/relationships" ref="I15" r:id="rId26"/>
    <hyperlink xmlns:r="http://schemas.openxmlformats.org/officeDocument/2006/relationships" ref="G16" r:id="rId27"/>
    <hyperlink xmlns:r="http://schemas.openxmlformats.org/officeDocument/2006/relationships" ref="I16" r:id="rId28"/>
    <hyperlink xmlns:r="http://schemas.openxmlformats.org/officeDocument/2006/relationships" ref="G17" r:id="rId29"/>
    <hyperlink xmlns:r="http://schemas.openxmlformats.org/officeDocument/2006/relationships" ref="I17" r:id="rId30"/>
    <hyperlink xmlns:r="http://schemas.openxmlformats.org/officeDocument/2006/relationships" ref="G18" r:id="rId31"/>
    <hyperlink xmlns:r="http://schemas.openxmlformats.org/officeDocument/2006/relationships" ref="I18" r:id="rId32"/>
    <hyperlink xmlns:r="http://schemas.openxmlformats.org/officeDocument/2006/relationships" ref="G19" r:id="rId33"/>
    <hyperlink xmlns:r="http://schemas.openxmlformats.org/officeDocument/2006/relationships" ref="I19" r:id="rId34"/>
    <hyperlink xmlns:r="http://schemas.openxmlformats.org/officeDocument/2006/relationships" ref="G20" r:id="rId35"/>
    <hyperlink xmlns:r="http://schemas.openxmlformats.org/officeDocument/2006/relationships" ref="I20" r:id="rId36"/>
    <hyperlink xmlns:r="http://schemas.openxmlformats.org/officeDocument/2006/relationships" ref="G21" r:id="rId37"/>
    <hyperlink xmlns:r="http://schemas.openxmlformats.org/officeDocument/2006/relationships" ref="I21" r:id="rId38"/>
    <hyperlink xmlns:r="http://schemas.openxmlformats.org/officeDocument/2006/relationships" ref="G22" r:id="rId39"/>
    <hyperlink xmlns:r="http://schemas.openxmlformats.org/officeDocument/2006/relationships" ref="I22" r:id="rId40"/>
    <hyperlink xmlns:r="http://schemas.openxmlformats.org/officeDocument/2006/relationships" ref="G23" r:id="rId41"/>
    <hyperlink xmlns:r="http://schemas.openxmlformats.org/officeDocument/2006/relationships" ref="I23" r:id="rId42"/>
    <hyperlink xmlns:r="http://schemas.openxmlformats.org/officeDocument/2006/relationships" ref="G24" r:id="rId43"/>
    <hyperlink xmlns:r="http://schemas.openxmlformats.org/officeDocument/2006/relationships" ref="I24" r:id="rId44"/>
    <hyperlink xmlns:r="http://schemas.openxmlformats.org/officeDocument/2006/relationships" ref="G25" r:id="rId45"/>
    <hyperlink xmlns:r="http://schemas.openxmlformats.org/officeDocument/2006/relationships" ref="I25" r:id="rId46"/>
    <hyperlink xmlns:r="http://schemas.openxmlformats.org/officeDocument/2006/relationships" ref="G26" r:id="rId47"/>
    <hyperlink xmlns:r="http://schemas.openxmlformats.org/officeDocument/2006/relationships" ref="I26" r:id="rId48"/>
    <hyperlink xmlns:r="http://schemas.openxmlformats.org/officeDocument/2006/relationships" ref="G27" r:id="rId49"/>
    <hyperlink xmlns:r="http://schemas.openxmlformats.org/officeDocument/2006/relationships" ref="I27" r:id="rId50"/>
    <hyperlink xmlns:r="http://schemas.openxmlformats.org/officeDocument/2006/relationships" ref="G28" r:id="rId51"/>
    <hyperlink xmlns:r="http://schemas.openxmlformats.org/officeDocument/2006/relationships" ref="I28" r:id="rId52"/>
    <hyperlink xmlns:r="http://schemas.openxmlformats.org/officeDocument/2006/relationships" ref="G29" r:id="rId53"/>
    <hyperlink xmlns:r="http://schemas.openxmlformats.org/officeDocument/2006/relationships" ref="I29" r:id="rId54"/>
    <hyperlink xmlns:r="http://schemas.openxmlformats.org/officeDocument/2006/relationships" ref="G30" r:id="rId55"/>
    <hyperlink xmlns:r="http://schemas.openxmlformats.org/officeDocument/2006/relationships" ref="I30" r:id="rId56"/>
    <hyperlink xmlns:r="http://schemas.openxmlformats.org/officeDocument/2006/relationships" ref="G31" r:id="rId57"/>
    <hyperlink xmlns:r="http://schemas.openxmlformats.org/officeDocument/2006/relationships" ref="I31" r:id="rId58"/>
    <hyperlink xmlns:r="http://schemas.openxmlformats.org/officeDocument/2006/relationships" ref="G32" r:id="rId59"/>
    <hyperlink xmlns:r="http://schemas.openxmlformats.org/officeDocument/2006/relationships" ref="I32" r:id="rId60"/>
    <hyperlink xmlns:r="http://schemas.openxmlformats.org/officeDocument/2006/relationships" ref="G33" r:id="rId61"/>
    <hyperlink xmlns:r="http://schemas.openxmlformats.org/officeDocument/2006/relationships" ref="I33" r:id="rId62"/>
    <hyperlink xmlns:r="http://schemas.openxmlformats.org/officeDocument/2006/relationships" ref="G34" r:id="rId63"/>
    <hyperlink xmlns:r="http://schemas.openxmlformats.org/officeDocument/2006/relationships" ref="I34" r:id="rId64"/>
    <hyperlink xmlns:r="http://schemas.openxmlformats.org/officeDocument/2006/relationships" ref="G35" r:id="rId65"/>
    <hyperlink xmlns:r="http://schemas.openxmlformats.org/officeDocument/2006/relationships" ref="I35" r:id="rId66"/>
    <hyperlink xmlns:r="http://schemas.openxmlformats.org/officeDocument/2006/relationships" ref="G36" r:id="rId67"/>
    <hyperlink xmlns:r="http://schemas.openxmlformats.org/officeDocument/2006/relationships" ref="I36" r:id="rId68"/>
    <hyperlink xmlns:r="http://schemas.openxmlformats.org/officeDocument/2006/relationships" ref="G37" r:id="rId69"/>
    <hyperlink xmlns:r="http://schemas.openxmlformats.org/officeDocument/2006/relationships" ref="I37" r:id="rId70"/>
    <hyperlink xmlns:r="http://schemas.openxmlformats.org/officeDocument/2006/relationships" ref="G38" r:id="rId71"/>
    <hyperlink xmlns:r="http://schemas.openxmlformats.org/officeDocument/2006/relationships" ref="I38" r:id="rId72"/>
    <hyperlink xmlns:r="http://schemas.openxmlformats.org/officeDocument/2006/relationships" ref="G39" r:id="rId73"/>
    <hyperlink xmlns:r="http://schemas.openxmlformats.org/officeDocument/2006/relationships" ref="I39" r:id="rId74"/>
    <hyperlink xmlns:r="http://schemas.openxmlformats.org/officeDocument/2006/relationships" ref="G40" r:id="rId75"/>
    <hyperlink xmlns:r="http://schemas.openxmlformats.org/officeDocument/2006/relationships" ref="I40" r:id="rId76"/>
    <hyperlink xmlns:r="http://schemas.openxmlformats.org/officeDocument/2006/relationships" ref="G41" r:id="rId77"/>
    <hyperlink xmlns:r="http://schemas.openxmlformats.org/officeDocument/2006/relationships" ref="I41" r:id="rId78"/>
    <hyperlink xmlns:r="http://schemas.openxmlformats.org/officeDocument/2006/relationships" ref="G42" r:id="rId79"/>
    <hyperlink xmlns:r="http://schemas.openxmlformats.org/officeDocument/2006/relationships" ref="I42" r:id="rId80"/>
    <hyperlink xmlns:r="http://schemas.openxmlformats.org/officeDocument/2006/relationships" ref="G43" r:id="rId81"/>
    <hyperlink xmlns:r="http://schemas.openxmlformats.org/officeDocument/2006/relationships" ref="I43" r:id="rId82"/>
    <hyperlink xmlns:r="http://schemas.openxmlformats.org/officeDocument/2006/relationships" ref="I44" r:id="rId83"/>
    <hyperlink xmlns:r="http://schemas.openxmlformats.org/officeDocument/2006/relationships" ref="G45" r:id="rId84"/>
    <hyperlink xmlns:r="http://schemas.openxmlformats.org/officeDocument/2006/relationships" ref="I45" r:id="rId85"/>
    <hyperlink xmlns:r="http://schemas.openxmlformats.org/officeDocument/2006/relationships" ref="I46" r:id="rId86"/>
    <hyperlink xmlns:r="http://schemas.openxmlformats.org/officeDocument/2006/relationships" ref="G47" r:id="rId87"/>
    <hyperlink xmlns:r="http://schemas.openxmlformats.org/officeDocument/2006/relationships" ref="I47" r:id="rId88"/>
    <hyperlink xmlns:r="http://schemas.openxmlformats.org/officeDocument/2006/relationships" ref="G48" r:id="rId89"/>
    <hyperlink xmlns:r="http://schemas.openxmlformats.org/officeDocument/2006/relationships" ref="I48" r:id="rId90"/>
    <hyperlink xmlns:r="http://schemas.openxmlformats.org/officeDocument/2006/relationships" ref="G49" r:id="rId91"/>
    <hyperlink xmlns:r="http://schemas.openxmlformats.org/officeDocument/2006/relationships" ref="I49" r:id="rId92"/>
    <hyperlink xmlns:r="http://schemas.openxmlformats.org/officeDocument/2006/relationships" ref="G50" r:id="rId93"/>
    <hyperlink xmlns:r="http://schemas.openxmlformats.org/officeDocument/2006/relationships" ref="I50" r:id="rId94"/>
    <hyperlink xmlns:r="http://schemas.openxmlformats.org/officeDocument/2006/relationships" ref="I51" r:id="rId95"/>
    <hyperlink xmlns:r="http://schemas.openxmlformats.org/officeDocument/2006/relationships" ref="G52" r:id="rId96"/>
    <hyperlink xmlns:r="http://schemas.openxmlformats.org/officeDocument/2006/relationships" ref="I52" r:id="rId97"/>
    <hyperlink xmlns:r="http://schemas.openxmlformats.org/officeDocument/2006/relationships" ref="G53" r:id="rId98"/>
    <hyperlink xmlns:r="http://schemas.openxmlformats.org/officeDocument/2006/relationships" ref="I53" r:id="rId99"/>
    <hyperlink xmlns:r="http://schemas.openxmlformats.org/officeDocument/2006/relationships" ref="G54" r:id="rId100"/>
    <hyperlink xmlns:r="http://schemas.openxmlformats.org/officeDocument/2006/relationships" ref="I54" r:id="rId101"/>
    <hyperlink xmlns:r="http://schemas.openxmlformats.org/officeDocument/2006/relationships" ref="G55" r:id="rId102"/>
    <hyperlink xmlns:r="http://schemas.openxmlformats.org/officeDocument/2006/relationships" ref="I55" r:id="rId103"/>
    <hyperlink xmlns:r="http://schemas.openxmlformats.org/officeDocument/2006/relationships" ref="G56" r:id="rId104"/>
    <hyperlink xmlns:r="http://schemas.openxmlformats.org/officeDocument/2006/relationships" ref="I56" r:id="rId105"/>
    <hyperlink xmlns:r="http://schemas.openxmlformats.org/officeDocument/2006/relationships" ref="G57" r:id="rId106"/>
    <hyperlink xmlns:r="http://schemas.openxmlformats.org/officeDocument/2006/relationships" ref="I57" r:id="rId107"/>
    <hyperlink xmlns:r="http://schemas.openxmlformats.org/officeDocument/2006/relationships" ref="G58" r:id="rId108"/>
    <hyperlink xmlns:r="http://schemas.openxmlformats.org/officeDocument/2006/relationships" ref="I58" r:id="rId109"/>
    <hyperlink xmlns:r="http://schemas.openxmlformats.org/officeDocument/2006/relationships" ref="I59" r:id="rId110"/>
    <hyperlink xmlns:r="http://schemas.openxmlformats.org/officeDocument/2006/relationships" ref="I60" r:id="rId111"/>
    <hyperlink xmlns:r="http://schemas.openxmlformats.org/officeDocument/2006/relationships" ref="G61" r:id="rId112"/>
    <hyperlink xmlns:r="http://schemas.openxmlformats.org/officeDocument/2006/relationships" ref="I61" r:id="rId113"/>
    <hyperlink xmlns:r="http://schemas.openxmlformats.org/officeDocument/2006/relationships" ref="G62" r:id="rId114"/>
    <hyperlink xmlns:r="http://schemas.openxmlformats.org/officeDocument/2006/relationships" ref="I62" r:id="rId115"/>
    <hyperlink xmlns:r="http://schemas.openxmlformats.org/officeDocument/2006/relationships" ref="I63" r:id="rId116"/>
    <hyperlink xmlns:r="http://schemas.openxmlformats.org/officeDocument/2006/relationships" ref="G64" r:id="rId117"/>
    <hyperlink xmlns:r="http://schemas.openxmlformats.org/officeDocument/2006/relationships" ref="I64" r:id="rId118"/>
    <hyperlink xmlns:r="http://schemas.openxmlformats.org/officeDocument/2006/relationships" ref="G65" r:id="rId119"/>
    <hyperlink xmlns:r="http://schemas.openxmlformats.org/officeDocument/2006/relationships" ref="I65" r:id="rId120"/>
    <hyperlink xmlns:r="http://schemas.openxmlformats.org/officeDocument/2006/relationships" ref="G66" r:id="rId121"/>
    <hyperlink xmlns:r="http://schemas.openxmlformats.org/officeDocument/2006/relationships" ref="I66" r:id="rId122"/>
    <hyperlink xmlns:r="http://schemas.openxmlformats.org/officeDocument/2006/relationships" ref="I67" r:id="rId123"/>
    <hyperlink xmlns:r="http://schemas.openxmlformats.org/officeDocument/2006/relationships" ref="G68" r:id="rId124"/>
    <hyperlink xmlns:r="http://schemas.openxmlformats.org/officeDocument/2006/relationships" ref="I68" r:id="rId125"/>
    <hyperlink xmlns:r="http://schemas.openxmlformats.org/officeDocument/2006/relationships" ref="G69" r:id="rId126"/>
    <hyperlink xmlns:r="http://schemas.openxmlformats.org/officeDocument/2006/relationships" ref="I69" r:id="rId127"/>
    <hyperlink xmlns:r="http://schemas.openxmlformats.org/officeDocument/2006/relationships" ref="G70" r:id="rId128"/>
    <hyperlink xmlns:r="http://schemas.openxmlformats.org/officeDocument/2006/relationships" ref="I70" r:id="rId129"/>
    <hyperlink xmlns:r="http://schemas.openxmlformats.org/officeDocument/2006/relationships" ref="G71" r:id="rId130"/>
    <hyperlink xmlns:r="http://schemas.openxmlformats.org/officeDocument/2006/relationships" ref="I71" r:id="rId131"/>
    <hyperlink xmlns:r="http://schemas.openxmlformats.org/officeDocument/2006/relationships" ref="G72" r:id="rId132"/>
    <hyperlink xmlns:r="http://schemas.openxmlformats.org/officeDocument/2006/relationships" ref="I72" r:id="rId133"/>
    <hyperlink xmlns:r="http://schemas.openxmlformats.org/officeDocument/2006/relationships" ref="G73" r:id="rId134"/>
    <hyperlink xmlns:r="http://schemas.openxmlformats.org/officeDocument/2006/relationships" ref="I73" r:id="rId135"/>
    <hyperlink xmlns:r="http://schemas.openxmlformats.org/officeDocument/2006/relationships" ref="G74" r:id="rId136"/>
    <hyperlink xmlns:r="http://schemas.openxmlformats.org/officeDocument/2006/relationships" ref="I74" r:id="rId137"/>
    <hyperlink xmlns:r="http://schemas.openxmlformats.org/officeDocument/2006/relationships" ref="G75" r:id="rId138"/>
    <hyperlink xmlns:r="http://schemas.openxmlformats.org/officeDocument/2006/relationships" ref="I75" r:id="rId139"/>
    <hyperlink xmlns:r="http://schemas.openxmlformats.org/officeDocument/2006/relationships" ref="G76" r:id="rId140"/>
    <hyperlink xmlns:r="http://schemas.openxmlformats.org/officeDocument/2006/relationships" ref="I76" r:id="rId141"/>
    <hyperlink xmlns:r="http://schemas.openxmlformats.org/officeDocument/2006/relationships" ref="G77" r:id="rId142"/>
    <hyperlink xmlns:r="http://schemas.openxmlformats.org/officeDocument/2006/relationships" ref="I77" r:id="rId143"/>
    <hyperlink xmlns:r="http://schemas.openxmlformats.org/officeDocument/2006/relationships" ref="G78" r:id="rId144"/>
    <hyperlink xmlns:r="http://schemas.openxmlformats.org/officeDocument/2006/relationships" ref="I78" r:id="rId145"/>
    <hyperlink xmlns:r="http://schemas.openxmlformats.org/officeDocument/2006/relationships" ref="G79" r:id="rId146"/>
    <hyperlink xmlns:r="http://schemas.openxmlformats.org/officeDocument/2006/relationships" ref="I79" r:id="rId147"/>
    <hyperlink xmlns:r="http://schemas.openxmlformats.org/officeDocument/2006/relationships" ref="G80" r:id="rId148"/>
    <hyperlink xmlns:r="http://schemas.openxmlformats.org/officeDocument/2006/relationships" ref="I80" r:id="rId149"/>
    <hyperlink xmlns:r="http://schemas.openxmlformats.org/officeDocument/2006/relationships" ref="G81" r:id="rId150"/>
    <hyperlink xmlns:r="http://schemas.openxmlformats.org/officeDocument/2006/relationships" ref="I81" r:id="rId151"/>
    <hyperlink xmlns:r="http://schemas.openxmlformats.org/officeDocument/2006/relationships" ref="G82" r:id="rId152"/>
    <hyperlink xmlns:r="http://schemas.openxmlformats.org/officeDocument/2006/relationships" ref="I82" r:id="rId153"/>
    <hyperlink xmlns:r="http://schemas.openxmlformats.org/officeDocument/2006/relationships" ref="G83" r:id="rId154"/>
    <hyperlink xmlns:r="http://schemas.openxmlformats.org/officeDocument/2006/relationships" ref="I83" r:id="rId155"/>
    <hyperlink xmlns:r="http://schemas.openxmlformats.org/officeDocument/2006/relationships" ref="G84" r:id="rId156"/>
    <hyperlink xmlns:r="http://schemas.openxmlformats.org/officeDocument/2006/relationships" ref="I84" r:id="rId157"/>
    <hyperlink xmlns:r="http://schemas.openxmlformats.org/officeDocument/2006/relationships" ref="G85" r:id="rId158"/>
    <hyperlink xmlns:r="http://schemas.openxmlformats.org/officeDocument/2006/relationships" ref="I85" r:id="rId159"/>
    <hyperlink xmlns:r="http://schemas.openxmlformats.org/officeDocument/2006/relationships" ref="G86" r:id="rId160"/>
    <hyperlink xmlns:r="http://schemas.openxmlformats.org/officeDocument/2006/relationships" ref="I86" r:id="rId161"/>
    <hyperlink xmlns:r="http://schemas.openxmlformats.org/officeDocument/2006/relationships" ref="G87" r:id="rId162"/>
    <hyperlink xmlns:r="http://schemas.openxmlformats.org/officeDocument/2006/relationships" ref="I87" r:id="rId163"/>
    <hyperlink xmlns:r="http://schemas.openxmlformats.org/officeDocument/2006/relationships" ref="G88" r:id="rId164"/>
    <hyperlink xmlns:r="http://schemas.openxmlformats.org/officeDocument/2006/relationships" ref="I88" r:id="rId165"/>
    <hyperlink xmlns:r="http://schemas.openxmlformats.org/officeDocument/2006/relationships" ref="G89" r:id="rId166"/>
    <hyperlink xmlns:r="http://schemas.openxmlformats.org/officeDocument/2006/relationships" ref="I89" r:id="rId167"/>
    <hyperlink xmlns:r="http://schemas.openxmlformats.org/officeDocument/2006/relationships" ref="G90" r:id="rId168"/>
    <hyperlink xmlns:r="http://schemas.openxmlformats.org/officeDocument/2006/relationships" ref="I90" r:id="rId169"/>
    <hyperlink xmlns:r="http://schemas.openxmlformats.org/officeDocument/2006/relationships" ref="G91" r:id="rId170"/>
    <hyperlink xmlns:r="http://schemas.openxmlformats.org/officeDocument/2006/relationships" ref="I91" r:id="rId171"/>
    <hyperlink xmlns:r="http://schemas.openxmlformats.org/officeDocument/2006/relationships" ref="G92" r:id="rId172"/>
    <hyperlink xmlns:r="http://schemas.openxmlformats.org/officeDocument/2006/relationships" ref="I92" r:id="rId173"/>
    <hyperlink xmlns:r="http://schemas.openxmlformats.org/officeDocument/2006/relationships" ref="G93" r:id="rId174"/>
    <hyperlink xmlns:r="http://schemas.openxmlformats.org/officeDocument/2006/relationships" ref="I93" r:id="rId175"/>
    <hyperlink xmlns:r="http://schemas.openxmlformats.org/officeDocument/2006/relationships" ref="G94" r:id="rId176"/>
    <hyperlink xmlns:r="http://schemas.openxmlformats.org/officeDocument/2006/relationships" ref="I94" r:id="rId177"/>
    <hyperlink xmlns:r="http://schemas.openxmlformats.org/officeDocument/2006/relationships" ref="I95" r:id="rId178"/>
    <hyperlink xmlns:r="http://schemas.openxmlformats.org/officeDocument/2006/relationships" ref="G96" r:id="rId179"/>
    <hyperlink xmlns:r="http://schemas.openxmlformats.org/officeDocument/2006/relationships" ref="I96" r:id="rId180"/>
    <hyperlink xmlns:r="http://schemas.openxmlformats.org/officeDocument/2006/relationships" ref="G97" r:id="rId181"/>
    <hyperlink xmlns:r="http://schemas.openxmlformats.org/officeDocument/2006/relationships" ref="I97" r:id="rId182"/>
    <hyperlink xmlns:r="http://schemas.openxmlformats.org/officeDocument/2006/relationships" ref="G98" r:id="rId183"/>
    <hyperlink xmlns:r="http://schemas.openxmlformats.org/officeDocument/2006/relationships" ref="I98" r:id="rId184"/>
    <hyperlink xmlns:r="http://schemas.openxmlformats.org/officeDocument/2006/relationships" ref="G99" r:id="rId185"/>
    <hyperlink xmlns:r="http://schemas.openxmlformats.org/officeDocument/2006/relationships" ref="I99" r:id="rId186"/>
    <hyperlink xmlns:r="http://schemas.openxmlformats.org/officeDocument/2006/relationships" ref="I100" r:id="rId187"/>
    <hyperlink xmlns:r="http://schemas.openxmlformats.org/officeDocument/2006/relationships" ref="G101" r:id="rId188"/>
    <hyperlink xmlns:r="http://schemas.openxmlformats.org/officeDocument/2006/relationships" ref="I101" r:id="rId189"/>
    <hyperlink xmlns:r="http://schemas.openxmlformats.org/officeDocument/2006/relationships" ref="G102" r:id="rId190"/>
    <hyperlink xmlns:r="http://schemas.openxmlformats.org/officeDocument/2006/relationships" ref="I102" r:id="rId191"/>
    <hyperlink xmlns:r="http://schemas.openxmlformats.org/officeDocument/2006/relationships" ref="G103" r:id="rId192"/>
    <hyperlink xmlns:r="http://schemas.openxmlformats.org/officeDocument/2006/relationships" ref="I103" r:id="rId193"/>
    <hyperlink xmlns:r="http://schemas.openxmlformats.org/officeDocument/2006/relationships" ref="G104" r:id="rId194"/>
    <hyperlink xmlns:r="http://schemas.openxmlformats.org/officeDocument/2006/relationships" ref="I104" r:id="rId195"/>
    <hyperlink xmlns:r="http://schemas.openxmlformats.org/officeDocument/2006/relationships" ref="G105" r:id="rId196"/>
    <hyperlink xmlns:r="http://schemas.openxmlformats.org/officeDocument/2006/relationships" ref="I105" r:id="rId197"/>
    <hyperlink xmlns:r="http://schemas.openxmlformats.org/officeDocument/2006/relationships" ref="G106" r:id="rId198"/>
    <hyperlink xmlns:r="http://schemas.openxmlformats.org/officeDocument/2006/relationships" ref="I106" r:id="rId199"/>
    <hyperlink xmlns:r="http://schemas.openxmlformats.org/officeDocument/2006/relationships" ref="G107" r:id="rId200"/>
    <hyperlink xmlns:r="http://schemas.openxmlformats.org/officeDocument/2006/relationships" ref="I107" r:id="rId201"/>
    <hyperlink xmlns:r="http://schemas.openxmlformats.org/officeDocument/2006/relationships" ref="G108" r:id="rId202"/>
    <hyperlink xmlns:r="http://schemas.openxmlformats.org/officeDocument/2006/relationships" ref="I108" r:id="rId203"/>
    <hyperlink xmlns:r="http://schemas.openxmlformats.org/officeDocument/2006/relationships" ref="G109" r:id="rId204"/>
    <hyperlink xmlns:r="http://schemas.openxmlformats.org/officeDocument/2006/relationships" ref="I109" r:id="rId205"/>
    <hyperlink xmlns:r="http://schemas.openxmlformats.org/officeDocument/2006/relationships" ref="G110" r:id="rId206"/>
    <hyperlink xmlns:r="http://schemas.openxmlformats.org/officeDocument/2006/relationships" ref="I110" r:id="rId207"/>
    <hyperlink xmlns:r="http://schemas.openxmlformats.org/officeDocument/2006/relationships" ref="G111" r:id="rId208"/>
    <hyperlink xmlns:r="http://schemas.openxmlformats.org/officeDocument/2006/relationships" ref="I111" r:id="rId209"/>
    <hyperlink xmlns:r="http://schemas.openxmlformats.org/officeDocument/2006/relationships" ref="I112" r:id="rId210"/>
    <hyperlink xmlns:r="http://schemas.openxmlformats.org/officeDocument/2006/relationships" ref="G113" r:id="rId211"/>
    <hyperlink xmlns:r="http://schemas.openxmlformats.org/officeDocument/2006/relationships" ref="I113" r:id="rId212"/>
    <hyperlink xmlns:r="http://schemas.openxmlformats.org/officeDocument/2006/relationships" ref="G114" r:id="rId213"/>
    <hyperlink xmlns:r="http://schemas.openxmlformats.org/officeDocument/2006/relationships" ref="I114" r:id="rId214"/>
    <hyperlink xmlns:r="http://schemas.openxmlformats.org/officeDocument/2006/relationships" ref="G115" r:id="rId215"/>
    <hyperlink xmlns:r="http://schemas.openxmlformats.org/officeDocument/2006/relationships" ref="I115" r:id="rId216"/>
    <hyperlink xmlns:r="http://schemas.openxmlformats.org/officeDocument/2006/relationships" ref="G116" r:id="rId217"/>
    <hyperlink xmlns:r="http://schemas.openxmlformats.org/officeDocument/2006/relationships" ref="I116" r:id="rId218"/>
    <hyperlink xmlns:r="http://schemas.openxmlformats.org/officeDocument/2006/relationships" ref="G117" r:id="rId219"/>
    <hyperlink xmlns:r="http://schemas.openxmlformats.org/officeDocument/2006/relationships" ref="I117" r:id="rId220"/>
    <hyperlink xmlns:r="http://schemas.openxmlformats.org/officeDocument/2006/relationships" ref="G118" r:id="rId221"/>
    <hyperlink xmlns:r="http://schemas.openxmlformats.org/officeDocument/2006/relationships" ref="I118" r:id="rId222"/>
    <hyperlink xmlns:r="http://schemas.openxmlformats.org/officeDocument/2006/relationships" ref="G119" r:id="rId223"/>
    <hyperlink xmlns:r="http://schemas.openxmlformats.org/officeDocument/2006/relationships" ref="I119" r:id="rId224"/>
    <hyperlink xmlns:r="http://schemas.openxmlformats.org/officeDocument/2006/relationships" ref="G120" r:id="rId225"/>
    <hyperlink xmlns:r="http://schemas.openxmlformats.org/officeDocument/2006/relationships" ref="I120" r:id="rId226"/>
    <hyperlink xmlns:r="http://schemas.openxmlformats.org/officeDocument/2006/relationships" ref="G121" r:id="rId227"/>
    <hyperlink xmlns:r="http://schemas.openxmlformats.org/officeDocument/2006/relationships" ref="I121" r:id="rId228"/>
    <hyperlink xmlns:r="http://schemas.openxmlformats.org/officeDocument/2006/relationships" ref="G122" r:id="rId229"/>
    <hyperlink xmlns:r="http://schemas.openxmlformats.org/officeDocument/2006/relationships" ref="I122" r:id="rId230"/>
    <hyperlink xmlns:r="http://schemas.openxmlformats.org/officeDocument/2006/relationships" ref="G123" r:id="rId231"/>
    <hyperlink xmlns:r="http://schemas.openxmlformats.org/officeDocument/2006/relationships" ref="I123" r:id="rId232"/>
    <hyperlink xmlns:r="http://schemas.openxmlformats.org/officeDocument/2006/relationships" ref="G124" r:id="rId233"/>
    <hyperlink xmlns:r="http://schemas.openxmlformats.org/officeDocument/2006/relationships" ref="I124" r:id="rId234"/>
    <hyperlink xmlns:r="http://schemas.openxmlformats.org/officeDocument/2006/relationships" ref="I125" r:id="rId235"/>
    <hyperlink xmlns:r="http://schemas.openxmlformats.org/officeDocument/2006/relationships" ref="G126" r:id="rId236"/>
    <hyperlink xmlns:r="http://schemas.openxmlformats.org/officeDocument/2006/relationships" ref="I126" r:id="rId237"/>
    <hyperlink xmlns:r="http://schemas.openxmlformats.org/officeDocument/2006/relationships" ref="G127" r:id="rId238"/>
    <hyperlink xmlns:r="http://schemas.openxmlformats.org/officeDocument/2006/relationships" ref="I127" r:id="rId239"/>
    <hyperlink xmlns:r="http://schemas.openxmlformats.org/officeDocument/2006/relationships" ref="G128" r:id="rId240"/>
    <hyperlink xmlns:r="http://schemas.openxmlformats.org/officeDocument/2006/relationships" ref="I128" r:id="rId241"/>
    <hyperlink xmlns:r="http://schemas.openxmlformats.org/officeDocument/2006/relationships" ref="G129" r:id="rId242"/>
    <hyperlink xmlns:r="http://schemas.openxmlformats.org/officeDocument/2006/relationships" ref="I129" r:id="rId243"/>
    <hyperlink xmlns:r="http://schemas.openxmlformats.org/officeDocument/2006/relationships" ref="G130" r:id="rId244"/>
    <hyperlink xmlns:r="http://schemas.openxmlformats.org/officeDocument/2006/relationships" ref="I130" r:id="rId245"/>
    <hyperlink xmlns:r="http://schemas.openxmlformats.org/officeDocument/2006/relationships" ref="G131" r:id="rId246"/>
    <hyperlink xmlns:r="http://schemas.openxmlformats.org/officeDocument/2006/relationships" ref="I131" r:id="rId247"/>
    <hyperlink xmlns:r="http://schemas.openxmlformats.org/officeDocument/2006/relationships" ref="G132" r:id="rId248"/>
    <hyperlink xmlns:r="http://schemas.openxmlformats.org/officeDocument/2006/relationships" ref="I132" r:id="rId249"/>
    <hyperlink xmlns:r="http://schemas.openxmlformats.org/officeDocument/2006/relationships" ref="G133" r:id="rId250"/>
    <hyperlink xmlns:r="http://schemas.openxmlformats.org/officeDocument/2006/relationships" ref="I133" r:id="rId251"/>
    <hyperlink xmlns:r="http://schemas.openxmlformats.org/officeDocument/2006/relationships" ref="G134" r:id="rId252"/>
    <hyperlink xmlns:r="http://schemas.openxmlformats.org/officeDocument/2006/relationships" ref="I134" r:id="rId253"/>
    <hyperlink xmlns:r="http://schemas.openxmlformats.org/officeDocument/2006/relationships" ref="G135" r:id="rId254"/>
    <hyperlink xmlns:r="http://schemas.openxmlformats.org/officeDocument/2006/relationships" ref="I135" r:id="rId255"/>
    <hyperlink xmlns:r="http://schemas.openxmlformats.org/officeDocument/2006/relationships" ref="G136" r:id="rId256"/>
    <hyperlink xmlns:r="http://schemas.openxmlformats.org/officeDocument/2006/relationships" ref="I136" r:id="rId257"/>
    <hyperlink xmlns:r="http://schemas.openxmlformats.org/officeDocument/2006/relationships" ref="G137" r:id="rId258"/>
    <hyperlink xmlns:r="http://schemas.openxmlformats.org/officeDocument/2006/relationships" ref="I137" r:id="rId259"/>
    <hyperlink xmlns:r="http://schemas.openxmlformats.org/officeDocument/2006/relationships" ref="G138" r:id="rId260"/>
    <hyperlink xmlns:r="http://schemas.openxmlformats.org/officeDocument/2006/relationships" ref="I138" r:id="rId261"/>
    <hyperlink xmlns:r="http://schemas.openxmlformats.org/officeDocument/2006/relationships" ref="G139" r:id="rId262"/>
    <hyperlink xmlns:r="http://schemas.openxmlformats.org/officeDocument/2006/relationships" ref="I139" r:id="rId263"/>
    <hyperlink xmlns:r="http://schemas.openxmlformats.org/officeDocument/2006/relationships" ref="I140" r:id="rId264"/>
    <hyperlink xmlns:r="http://schemas.openxmlformats.org/officeDocument/2006/relationships" ref="G141" r:id="rId265"/>
    <hyperlink xmlns:r="http://schemas.openxmlformats.org/officeDocument/2006/relationships" ref="I141" r:id="rId266"/>
    <hyperlink xmlns:r="http://schemas.openxmlformats.org/officeDocument/2006/relationships" ref="G142" r:id="rId267"/>
    <hyperlink xmlns:r="http://schemas.openxmlformats.org/officeDocument/2006/relationships" ref="I142" r:id="rId268"/>
    <hyperlink xmlns:r="http://schemas.openxmlformats.org/officeDocument/2006/relationships" ref="G143" r:id="rId269"/>
    <hyperlink xmlns:r="http://schemas.openxmlformats.org/officeDocument/2006/relationships" ref="I143" r:id="rId270"/>
    <hyperlink xmlns:r="http://schemas.openxmlformats.org/officeDocument/2006/relationships" ref="I144" r:id="rId271"/>
    <hyperlink xmlns:r="http://schemas.openxmlformats.org/officeDocument/2006/relationships" ref="G145" r:id="rId272"/>
    <hyperlink xmlns:r="http://schemas.openxmlformats.org/officeDocument/2006/relationships" ref="I145" r:id="rId273"/>
    <hyperlink xmlns:r="http://schemas.openxmlformats.org/officeDocument/2006/relationships" ref="G146" r:id="rId274"/>
    <hyperlink xmlns:r="http://schemas.openxmlformats.org/officeDocument/2006/relationships" ref="I146" r:id="rId275"/>
    <hyperlink xmlns:r="http://schemas.openxmlformats.org/officeDocument/2006/relationships" ref="G147" r:id="rId276"/>
    <hyperlink xmlns:r="http://schemas.openxmlformats.org/officeDocument/2006/relationships" ref="I147" r:id="rId277"/>
    <hyperlink xmlns:r="http://schemas.openxmlformats.org/officeDocument/2006/relationships" ref="G148" r:id="rId278"/>
    <hyperlink xmlns:r="http://schemas.openxmlformats.org/officeDocument/2006/relationships" ref="I148" r:id="rId279"/>
    <hyperlink xmlns:r="http://schemas.openxmlformats.org/officeDocument/2006/relationships" ref="G149" r:id="rId280"/>
    <hyperlink xmlns:r="http://schemas.openxmlformats.org/officeDocument/2006/relationships" ref="I149" r:id="rId281"/>
    <hyperlink xmlns:r="http://schemas.openxmlformats.org/officeDocument/2006/relationships" ref="G150" r:id="rId282"/>
    <hyperlink xmlns:r="http://schemas.openxmlformats.org/officeDocument/2006/relationships" ref="I150" r:id="rId283"/>
    <hyperlink xmlns:r="http://schemas.openxmlformats.org/officeDocument/2006/relationships" ref="I151" r:id="rId284"/>
    <hyperlink xmlns:r="http://schemas.openxmlformats.org/officeDocument/2006/relationships" ref="G152" r:id="rId285"/>
    <hyperlink xmlns:r="http://schemas.openxmlformats.org/officeDocument/2006/relationships" ref="I152" r:id="rId286"/>
    <hyperlink xmlns:r="http://schemas.openxmlformats.org/officeDocument/2006/relationships" ref="G153" r:id="rId287"/>
    <hyperlink xmlns:r="http://schemas.openxmlformats.org/officeDocument/2006/relationships" ref="I153" r:id="rId288"/>
    <hyperlink xmlns:r="http://schemas.openxmlformats.org/officeDocument/2006/relationships" ref="G154" r:id="rId289"/>
    <hyperlink xmlns:r="http://schemas.openxmlformats.org/officeDocument/2006/relationships" ref="I154" r:id="rId290"/>
    <hyperlink xmlns:r="http://schemas.openxmlformats.org/officeDocument/2006/relationships" ref="G155" r:id="rId291"/>
    <hyperlink xmlns:r="http://schemas.openxmlformats.org/officeDocument/2006/relationships" ref="I155" r:id="rId292"/>
    <hyperlink xmlns:r="http://schemas.openxmlformats.org/officeDocument/2006/relationships" ref="G156" r:id="rId293"/>
    <hyperlink xmlns:r="http://schemas.openxmlformats.org/officeDocument/2006/relationships" ref="I156" r:id="rId294"/>
    <hyperlink xmlns:r="http://schemas.openxmlformats.org/officeDocument/2006/relationships" ref="G157" r:id="rId295"/>
    <hyperlink xmlns:r="http://schemas.openxmlformats.org/officeDocument/2006/relationships" ref="I157" r:id="rId296"/>
    <hyperlink xmlns:r="http://schemas.openxmlformats.org/officeDocument/2006/relationships" ref="G158" r:id="rId297"/>
    <hyperlink xmlns:r="http://schemas.openxmlformats.org/officeDocument/2006/relationships" ref="I158" r:id="rId298"/>
    <hyperlink xmlns:r="http://schemas.openxmlformats.org/officeDocument/2006/relationships" ref="G159" r:id="rId299"/>
    <hyperlink xmlns:r="http://schemas.openxmlformats.org/officeDocument/2006/relationships" ref="I159" r:id="rId300"/>
    <hyperlink xmlns:r="http://schemas.openxmlformats.org/officeDocument/2006/relationships" ref="G160" r:id="rId301"/>
    <hyperlink xmlns:r="http://schemas.openxmlformats.org/officeDocument/2006/relationships" ref="I160" r:id="rId302"/>
    <hyperlink xmlns:r="http://schemas.openxmlformats.org/officeDocument/2006/relationships" ref="G161" r:id="rId303"/>
    <hyperlink xmlns:r="http://schemas.openxmlformats.org/officeDocument/2006/relationships" ref="I161" r:id="rId304"/>
    <hyperlink xmlns:r="http://schemas.openxmlformats.org/officeDocument/2006/relationships" ref="G162" r:id="rId305"/>
    <hyperlink xmlns:r="http://schemas.openxmlformats.org/officeDocument/2006/relationships" ref="I162" r:id="rId306"/>
    <hyperlink xmlns:r="http://schemas.openxmlformats.org/officeDocument/2006/relationships" ref="G163" r:id="rId307"/>
    <hyperlink xmlns:r="http://schemas.openxmlformats.org/officeDocument/2006/relationships" ref="I163" r:id="rId308"/>
    <hyperlink xmlns:r="http://schemas.openxmlformats.org/officeDocument/2006/relationships" ref="G164" r:id="rId309"/>
    <hyperlink xmlns:r="http://schemas.openxmlformats.org/officeDocument/2006/relationships" ref="I164" r:id="rId310"/>
    <hyperlink xmlns:r="http://schemas.openxmlformats.org/officeDocument/2006/relationships" ref="G165" r:id="rId311"/>
    <hyperlink xmlns:r="http://schemas.openxmlformats.org/officeDocument/2006/relationships" ref="I165" r:id="rId312"/>
    <hyperlink xmlns:r="http://schemas.openxmlformats.org/officeDocument/2006/relationships" ref="G166" r:id="rId313"/>
    <hyperlink xmlns:r="http://schemas.openxmlformats.org/officeDocument/2006/relationships" ref="I166" r:id="rId314"/>
    <hyperlink xmlns:r="http://schemas.openxmlformats.org/officeDocument/2006/relationships" ref="G167" r:id="rId315"/>
    <hyperlink xmlns:r="http://schemas.openxmlformats.org/officeDocument/2006/relationships" ref="I167" r:id="rId316"/>
    <hyperlink xmlns:r="http://schemas.openxmlformats.org/officeDocument/2006/relationships" ref="G168" r:id="rId317"/>
    <hyperlink xmlns:r="http://schemas.openxmlformats.org/officeDocument/2006/relationships" ref="I168" r:id="rId318"/>
    <hyperlink xmlns:r="http://schemas.openxmlformats.org/officeDocument/2006/relationships" ref="G169" r:id="rId319"/>
    <hyperlink xmlns:r="http://schemas.openxmlformats.org/officeDocument/2006/relationships" ref="I169" r:id="rId320"/>
    <hyperlink xmlns:r="http://schemas.openxmlformats.org/officeDocument/2006/relationships" ref="G170" r:id="rId321"/>
    <hyperlink xmlns:r="http://schemas.openxmlformats.org/officeDocument/2006/relationships" ref="I170" r:id="rId322"/>
    <hyperlink xmlns:r="http://schemas.openxmlformats.org/officeDocument/2006/relationships" ref="G171" r:id="rId323"/>
    <hyperlink xmlns:r="http://schemas.openxmlformats.org/officeDocument/2006/relationships" ref="I171" r:id="rId3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32" customWidth="1" min="3" max="3"/>
    <col width="30" customWidth="1" min="4" max="4"/>
    <col width="32" customWidth="1" min="5" max="5"/>
    <col width="12" customWidth="1" min="6" max="6"/>
    <col width="28" customWidth="1" min="7" max="7"/>
    <col width="24" customWidth="1" min="8" max="8"/>
    <col width="10" customWidth="1" min="9" max="9"/>
    <col width="12" customWidth="1" min="10" max="10"/>
    <col width="14" customWidth="1" min="11" max="11"/>
    <col width="14" customWidth="1" min="12" max="12"/>
    <col width="34" customWidth="1" min="13" max="13"/>
  </cols>
  <sheetData>
    <row r="1" ht="28" customHeight="1">
      <c r="A1" s="10" t="inlineStr">
        <is>
          <t>Tier</t>
        </is>
      </c>
      <c r="B1" s="10" t="inlineStr">
        <is>
          <t>Name</t>
        </is>
      </c>
      <c r="C1" s="10" t="inlineStr">
        <is>
          <t>Title</t>
        </is>
      </c>
      <c r="D1" s="10" t="inlineStr">
        <is>
          <t>Firm</t>
        </is>
      </c>
      <c r="E1" s="10" t="inlineStr">
        <is>
          <t>Work email</t>
        </is>
      </c>
      <c r="F1" s="10" t="inlineStr">
        <is>
          <t>Email status</t>
        </is>
      </c>
      <c r="G1" s="10" t="inlineStr">
        <is>
          <t>LinkedIn profile</t>
        </is>
      </c>
      <c r="H1" s="10" t="inlineStr">
        <is>
          <t>Channel</t>
        </is>
      </c>
      <c r="I1" s="10" t="inlineStr">
        <is>
          <t>Alternates at firm</t>
        </is>
      </c>
      <c r="J1" s="10" t="inlineStr">
        <is>
          <t>Owner</t>
        </is>
      </c>
      <c r="K1" s="10" t="inlineStr">
        <is>
          <t>Status</t>
        </is>
      </c>
      <c r="L1" s="10" t="inlineStr">
        <is>
          <t>Date contacted</t>
        </is>
      </c>
      <c r="M1" s="10" t="inlineStr">
        <is>
          <t>Notes</t>
        </is>
      </c>
    </row>
    <row r="2">
      <c r="A2" s="11" t="inlineStr">
        <is>
          <t>Boutique compliance</t>
        </is>
      </c>
      <c r="B2" s="11" t="inlineStr">
        <is>
          <t>Vick Ekizian</t>
        </is>
      </c>
      <c r="C2" s="11" t="inlineStr">
        <is>
          <t>Founder and CEO</t>
        </is>
      </c>
      <c r="D2" s="11" t="inlineStr">
        <is>
          <t>5 Pillars Compliance Consulting, LLC</t>
        </is>
      </c>
      <c r="E2" s="13" t="inlineStr">
        <is>
          <t>vick@5pillarscompliance.com</t>
        </is>
      </c>
      <c r="F2" s="14" t="inlineStr">
        <is>
          <t>verified</t>
        </is>
      </c>
      <c r="G2" s="13" t="inlineStr">
        <is>
          <t>/in/vickekizian</t>
        </is>
      </c>
      <c r="H2" s="11" t="inlineStr">
        <is>
          <t>Email</t>
        </is>
      </c>
      <c r="I2" s="12" t="n">
        <v>0</v>
      </c>
      <c r="J2" s="18" t="inlineStr"/>
      <c r="K2" s="18" t="inlineStr"/>
      <c r="L2" s="18" t="inlineStr"/>
      <c r="M2" s="18" t="inlineStr"/>
    </row>
    <row r="3">
      <c r="A3" s="11" t="inlineStr">
        <is>
          <t>Boutique compliance</t>
        </is>
      </c>
      <c r="B3" s="11" t="inlineStr">
        <is>
          <t>Lisa Roitman</t>
        </is>
      </c>
      <c r="C3" s="11" t="inlineStr">
        <is>
          <t>Managing Partner</t>
        </is>
      </c>
      <c r="D3" s="11" t="inlineStr">
        <is>
          <t>Abide Consulting Group</t>
        </is>
      </c>
      <c r="E3" s="13" t="inlineStr">
        <is>
          <t>lisa@abidegrp.com</t>
        </is>
      </c>
      <c r="F3" s="14" t="inlineStr">
        <is>
          <t>verified</t>
        </is>
      </c>
      <c r="G3" s="13" t="inlineStr">
        <is>
          <t>/in/lisaroitman</t>
        </is>
      </c>
      <c r="H3" s="11" t="inlineStr">
        <is>
          <t>Email</t>
        </is>
      </c>
      <c r="I3" s="12" t="n">
        <v>2</v>
      </c>
      <c r="J3" s="18" t="inlineStr"/>
      <c r="K3" s="18" t="inlineStr"/>
      <c r="L3" s="18" t="inlineStr"/>
      <c r="M3" s="18" t="inlineStr"/>
    </row>
    <row r="4">
      <c r="A4" s="11" t="inlineStr">
        <is>
          <t>Boutique compliance</t>
        </is>
      </c>
      <c r="B4" s="11" t="inlineStr">
        <is>
          <t>Robert Masi</t>
        </is>
      </c>
      <c r="C4" s="11" t="inlineStr">
        <is>
          <t>Managing Partner</t>
        </is>
      </c>
      <c r="D4" s="11" t="inlineStr">
        <is>
          <t>Accordo</t>
        </is>
      </c>
      <c r="E4" s="13" t="inlineStr">
        <is>
          <t>robert.masi@accordo.solutions</t>
        </is>
      </c>
      <c r="F4" s="14" t="inlineStr">
        <is>
          <t>verified</t>
        </is>
      </c>
      <c r="G4" s="13" t="inlineStr">
        <is>
          <t>/in/robert-masi-1a123b8</t>
        </is>
      </c>
      <c r="H4" s="11" t="inlineStr">
        <is>
          <t>Email</t>
        </is>
      </c>
      <c r="I4" s="12" t="n">
        <v>0</v>
      </c>
      <c r="J4" s="18" t="inlineStr"/>
      <c r="K4" s="18" t="inlineStr"/>
      <c r="L4" s="18" t="inlineStr"/>
      <c r="M4" s="18" t="inlineStr"/>
    </row>
    <row r="5">
      <c r="A5" s="11" t="inlineStr">
        <is>
          <t>Boutique compliance</t>
        </is>
      </c>
      <c r="B5" s="11" t="inlineStr">
        <is>
          <t>Stephen Lurie</t>
        </is>
      </c>
      <c r="C5" s="11" t="inlineStr">
        <is>
          <t>Principal Owner</t>
        </is>
      </c>
      <c r="D5" s="11" t="inlineStr">
        <is>
          <t>Adviser Compliance Consulting</t>
        </is>
      </c>
      <c r="E5" s="11" t="inlineStr"/>
      <c r="F5" s="16" t="inlineStr">
        <is>
          <t>unavailable</t>
        </is>
      </c>
      <c r="G5" s="13" t="inlineStr">
        <is>
          <t>/in/stephen-lurie-8b0b371</t>
        </is>
      </c>
      <c r="H5" s="11" t="inlineStr">
        <is>
          <t>LinkedIn only</t>
        </is>
      </c>
      <c r="I5" s="12" t="n">
        <v>1</v>
      </c>
      <c r="J5" s="18" t="inlineStr"/>
      <c r="K5" s="18" t="inlineStr"/>
      <c r="L5" s="18" t="inlineStr"/>
      <c r="M5" s="18" t="inlineStr"/>
    </row>
    <row r="6">
      <c r="A6" s="11" t="inlineStr">
        <is>
          <t>Boutique compliance</t>
        </is>
      </c>
      <c r="B6" s="11" t="inlineStr">
        <is>
          <t>Joseph Stowell</t>
        </is>
      </c>
      <c r="C6" s="11" t="inlineStr">
        <is>
          <t>Managing Partner, President</t>
        </is>
      </c>
      <c r="D6" s="11" t="inlineStr">
        <is>
          <t>Ally Compliance Partners LLC</t>
        </is>
      </c>
      <c r="E6" s="13" t="inlineStr">
        <is>
          <t>joe@allycompliancepartners.com</t>
        </is>
      </c>
      <c r="F6" s="14" t="inlineStr">
        <is>
          <t>verified</t>
        </is>
      </c>
      <c r="G6" s="13" t="inlineStr">
        <is>
          <t>/in/josephstowell</t>
        </is>
      </c>
      <c r="H6" s="11" t="inlineStr">
        <is>
          <t>Email</t>
        </is>
      </c>
      <c r="I6" s="12" t="n">
        <v>0</v>
      </c>
      <c r="J6" s="18" t="inlineStr"/>
      <c r="K6" s="18" t="inlineStr"/>
      <c r="L6" s="18" t="inlineStr"/>
      <c r="M6" s="18" t="inlineStr"/>
    </row>
    <row r="7">
      <c r="A7" s="11" t="inlineStr">
        <is>
          <t>Boutique compliance</t>
        </is>
      </c>
      <c r="B7" s="11" t="inlineStr">
        <is>
          <t>Chris Hardy</t>
        </is>
      </c>
      <c r="C7" s="11" t="inlineStr">
        <is>
          <t>Co-Founder</t>
        </is>
      </c>
      <c r="D7" s="11" t="inlineStr">
        <is>
          <t>altPILOT Group</t>
        </is>
      </c>
      <c r="E7" s="13" t="inlineStr">
        <is>
          <t>chris@altpilotgroup.com</t>
        </is>
      </c>
      <c r="F7" s="14" t="inlineStr">
        <is>
          <t>verified</t>
        </is>
      </c>
      <c r="G7" s="13" t="inlineStr">
        <is>
          <t>/in/chrishardy2</t>
        </is>
      </c>
      <c r="H7" s="11" t="inlineStr">
        <is>
          <t>Email</t>
        </is>
      </c>
      <c r="I7" s="12" t="n">
        <v>1</v>
      </c>
      <c r="J7" s="18" t="inlineStr"/>
      <c r="K7" s="18" t="inlineStr"/>
      <c r="L7" s="18" t="inlineStr"/>
      <c r="M7" s="18" t="inlineStr"/>
    </row>
    <row r="8">
      <c r="A8" s="11" t="inlineStr">
        <is>
          <t>Boutique compliance</t>
        </is>
      </c>
      <c r="B8" s="11" t="inlineStr">
        <is>
          <t>Jon Hurd</t>
        </is>
      </c>
      <c r="C8" s="11" t="inlineStr">
        <is>
          <t>Founder, Chief Executive Officer and Certified Anti-Money Laundering Specialist</t>
        </is>
      </c>
      <c r="D8" s="11" t="inlineStr">
        <is>
          <t>Asgard Regulatory Group, LLC</t>
        </is>
      </c>
      <c r="E8" s="13" t="inlineStr">
        <is>
          <t>jhurd@asgardcompliance.com</t>
        </is>
      </c>
      <c r="F8" s="14" t="inlineStr">
        <is>
          <t>verified</t>
        </is>
      </c>
      <c r="G8" s="13" t="inlineStr">
        <is>
          <t>/in/jonhurdarg</t>
        </is>
      </c>
      <c r="H8" s="11" t="inlineStr">
        <is>
          <t>Email</t>
        </is>
      </c>
      <c r="I8" s="12" t="n">
        <v>2</v>
      </c>
      <c r="J8" s="18" t="inlineStr"/>
      <c r="K8" s="18" t="inlineStr"/>
      <c r="L8" s="18" t="inlineStr"/>
      <c r="M8" s="18" t="inlineStr"/>
    </row>
    <row r="9">
      <c r="A9" s="11" t="inlineStr">
        <is>
          <t>Boutique compliance</t>
        </is>
      </c>
      <c r="B9" s="11" t="inlineStr">
        <is>
          <t>Justin Schleifer</t>
        </is>
      </c>
      <c r="C9" s="11" t="inlineStr">
        <is>
          <t>President, Co-Founder</t>
        </is>
      </c>
      <c r="D9" s="11" t="inlineStr">
        <is>
          <t>Aspect Advisors</t>
        </is>
      </c>
      <c r="E9" s="13" t="inlineStr">
        <is>
          <t>justin@aspectadv.com</t>
        </is>
      </c>
      <c r="F9" s="14" t="inlineStr">
        <is>
          <t>verified</t>
        </is>
      </c>
      <c r="G9" s="13" t="inlineStr">
        <is>
          <t>/in/justin-schleifer-28852036</t>
        </is>
      </c>
      <c r="H9" s="11" t="inlineStr">
        <is>
          <t>Email</t>
        </is>
      </c>
      <c r="I9" s="12" t="n">
        <v>5</v>
      </c>
      <c r="J9" s="18" t="inlineStr"/>
      <c r="K9" s="18" t="inlineStr"/>
      <c r="L9" s="18" t="inlineStr"/>
      <c r="M9" s="18" t="inlineStr"/>
    </row>
    <row r="10">
      <c r="A10" s="11" t="inlineStr">
        <is>
          <t>Boutique compliance</t>
        </is>
      </c>
      <c r="B10" s="11" t="inlineStr">
        <is>
          <t>Chris Nowak</t>
        </is>
      </c>
      <c r="C10" s="11" t="inlineStr">
        <is>
          <t>Founder &amp; CEO</t>
        </is>
      </c>
      <c r="D10" s="11" t="inlineStr">
        <is>
          <t>Augmenta Prime</t>
        </is>
      </c>
      <c r="E10" s="13" t="inlineStr">
        <is>
          <t>chris.nowak@augmentaprimegroup.com</t>
        </is>
      </c>
      <c r="F10" s="14" t="inlineStr">
        <is>
          <t>verified</t>
        </is>
      </c>
      <c r="G10" s="13" t="inlineStr">
        <is>
          <t>/in/chris-nowak-cams-cafp-cbp</t>
        </is>
      </c>
      <c r="H10" s="11" t="inlineStr">
        <is>
          <t>Email</t>
        </is>
      </c>
      <c r="I10" s="12" t="n">
        <v>0</v>
      </c>
      <c r="J10" s="18" t="inlineStr"/>
      <c r="K10" s="18" t="inlineStr"/>
      <c r="L10" s="18" t="inlineStr"/>
      <c r="M10" s="18" t="inlineStr"/>
    </row>
    <row r="11">
      <c r="A11" s="11" t="inlineStr">
        <is>
          <t>Boutique compliance</t>
        </is>
      </c>
      <c r="B11" s="11" t="inlineStr">
        <is>
          <t>Stefanie Little</t>
        </is>
      </c>
      <c r="C11" s="11" t="inlineStr">
        <is>
          <t>Founder &amp; Managing Partner</t>
        </is>
      </c>
      <c r="D11" s="11" t="inlineStr">
        <is>
          <t>Chenery Compliance Group</t>
        </is>
      </c>
      <c r="E11" s="13" t="inlineStr">
        <is>
          <t>slittle@chenerycompliance.com</t>
        </is>
      </c>
      <c r="F11" s="14" t="inlineStr">
        <is>
          <t>verified</t>
        </is>
      </c>
      <c r="G11" s="13" t="inlineStr">
        <is>
          <t>/in/stefanie-j-little-b155075</t>
        </is>
      </c>
      <c r="H11" s="11" t="inlineStr">
        <is>
          <t>Email</t>
        </is>
      </c>
      <c r="I11" s="12" t="n">
        <v>3</v>
      </c>
      <c r="J11" s="18" t="inlineStr"/>
      <c r="K11" s="18" t="inlineStr"/>
      <c r="L11" s="18" t="inlineStr"/>
      <c r="M11" s="18" t="inlineStr"/>
    </row>
    <row r="12">
      <c r="A12" s="11" t="inlineStr">
        <is>
          <t>Boutique compliance</t>
        </is>
      </c>
      <c r="B12" s="11" t="inlineStr">
        <is>
          <t>Claire McCleskey</t>
        </is>
      </c>
      <c r="C12" s="11" t="inlineStr">
        <is>
          <t>Co-Founder</t>
        </is>
      </c>
      <c r="D12" s="11" t="inlineStr">
        <is>
          <t>Clarity Compliance Consulting</t>
        </is>
      </c>
      <c r="E12" s="13" t="inlineStr">
        <is>
          <t>com@clarity-consultancy.com</t>
        </is>
      </c>
      <c r="F12" s="14" t="inlineStr">
        <is>
          <t>verified</t>
        </is>
      </c>
      <c r="G12" s="13" t="inlineStr">
        <is>
          <t>/in/claire-o-neill-mccleskey</t>
        </is>
      </c>
      <c r="H12" s="11" t="inlineStr">
        <is>
          <t>Email</t>
        </is>
      </c>
      <c r="I12" s="12" t="n">
        <v>0</v>
      </c>
      <c r="J12" s="18" t="inlineStr"/>
      <c r="K12" s="18" t="inlineStr"/>
      <c r="L12" s="18" t="inlineStr"/>
      <c r="M12" s="18" t="inlineStr"/>
    </row>
    <row r="13">
      <c r="A13" s="11" t="inlineStr">
        <is>
          <t>Boutique compliance</t>
        </is>
      </c>
      <c r="B13" s="11" t="inlineStr">
        <is>
          <t>David Martin</t>
        </is>
      </c>
      <c r="C13" s="11" t="inlineStr">
        <is>
          <t>Founder/CEO</t>
        </is>
      </c>
      <c r="D13" s="11" t="inlineStr">
        <is>
          <t>Compliers Consulting Services, LLC</t>
        </is>
      </c>
      <c r="E13" s="13" t="inlineStr">
        <is>
          <t>david@compliers.com</t>
        </is>
      </c>
      <c r="F13" s="14" t="inlineStr">
        <is>
          <t>verified</t>
        </is>
      </c>
      <c r="G13" s="13" t="inlineStr">
        <is>
          <t>/in/davidjaindlmartin</t>
        </is>
      </c>
      <c r="H13" s="11" t="inlineStr">
        <is>
          <t>Email</t>
        </is>
      </c>
      <c r="I13" s="12" t="n">
        <v>1</v>
      </c>
      <c r="J13" s="18" t="inlineStr"/>
      <c r="K13" s="18" t="inlineStr"/>
      <c r="L13" s="18" t="inlineStr"/>
      <c r="M13" s="18" t="inlineStr"/>
    </row>
    <row r="14">
      <c r="A14" s="11" t="inlineStr">
        <is>
          <t>Boutique compliance</t>
        </is>
      </c>
      <c r="B14" s="11" t="inlineStr">
        <is>
          <t>Michelle Jacko</t>
        </is>
      </c>
      <c r="C14" s="11" t="inlineStr">
        <is>
          <t>CEO</t>
        </is>
      </c>
      <c r="D14" s="11" t="inlineStr">
        <is>
          <t>Core Compliance &amp; Legal Services, Inc.</t>
        </is>
      </c>
      <c r="E14" s="13" t="inlineStr">
        <is>
          <t>michelle.jacko@corecls.com</t>
        </is>
      </c>
      <c r="F14" s="14" t="inlineStr">
        <is>
          <t>verified</t>
        </is>
      </c>
      <c r="G14" s="13" t="inlineStr">
        <is>
          <t>/in/michellejacko</t>
        </is>
      </c>
      <c r="H14" s="11" t="inlineStr">
        <is>
          <t>Email</t>
        </is>
      </c>
      <c r="I14" s="12" t="n">
        <v>0</v>
      </c>
      <c r="J14" s="18" t="inlineStr"/>
      <c r="K14" s="18" t="inlineStr"/>
      <c r="L14" s="18" t="inlineStr"/>
      <c r="M14" s="18" t="inlineStr"/>
    </row>
    <row r="15">
      <c r="A15" s="11" t="inlineStr">
        <is>
          <t>Boutique compliance</t>
        </is>
      </c>
      <c r="B15" s="11" t="inlineStr">
        <is>
          <t>Gary Fox</t>
        </is>
      </c>
      <c r="C15" s="11" t="inlineStr">
        <is>
          <t>Managing Director and Partner</t>
        </is>
      </c>
      <c r="D15" s="11" t="inlineStr">
        <is>
          <t>DFP Partners</t>
        </is>
      </c>
      <c r="E15" s="13" t="inlineStr">
        <is>
          <t>gfox@dfppartners.com</t>
        </is>
      </c>
      <c r="F15" s="14" t="inlineStr">
        <is>
          <t>verified</t>
        </is>
      </c>
      <c r="G15" s="13" t="inlineStr">
        <is>
          <t>/in/garyfox8</t>
        </is>
      </c>
      <c r="H15" s="11" t="inlineStr">
        <is>
          <t>Email</t>
        </is>
      </c>
      <c r="I15" s="12" t="n">
        <v>1</v>
      </c>
      <c r="J15" s="18" t="inlineStr"/>
      <c r="K15" s="18" t="inlineStr"/>
      <c r="L15" s="18" t="inlineStr"/>
      <c r="M15" s="18" t="inlineStr"/>
    </row>
    <row r="16">
      <c r="A16" s="11" t="inlineStr">
        <is>
          <t>Boutique compliance</t>
        </is>
      </c>
      <c r="B16" s="11" t="inlineStr">
        <is>
          <t>Francesco Matteini</t>
        </is>
      </c>
      <c r="C16" s="11" t="inlineStr">
        <is>
          <t>CEO and Founder</t>
        </is>
      </c>
      <c r="D16" s="11" t="inlineStr">
        <is>
          <t>InnReg</t>
        </is>
      </c>
      <c r="E16" s="13" t="inlineStr">
        <is>
          <t>francesco@innreg.com</t>
        </is>
      </c>
      <c r="F16" s="14" t="inlineStr">
        <is>
          <t>verified</t>
        </is>
      </c>
      <c r="G16" s="13" t="inlineStr">
        <is>
          <t>/in/fmatteini</t>
        </is>
      </c>
      <c r="H16" s="11" t="inlineStr">
        <is>
          <t>Email</t>
        </is>
      </c>
      <c r="I16" s="12" t="n">
        <v>1</v>
      </c>
      <c r="J16" s="18" t="inlineStr"/>
      <c r="K16" s="18" t="inlineStr"/>
      <c r="L16" s="18" t="inlineStr"/>
      <c r="M16" s="18" t="inlineStr"/>
    </row>
    <row r="17">
      <c r="A17" s="11" t="inlineStr">
        <is>
          <t>Boutique compliance</t>
        </is>
      </c>
      <c r="B17" s="11" t="inlineStr">
        <is>
          <t>Stephen Murphy</t>
        </is>
      </c>
      <c r="C17" s="11" t="inlineStr">
        <is>
          <t>Managing Director</t>
        </is>
      </c>
      <c r="D17" s="11" t="inlineStr">
        <is>
          <t>Integrated Compliance Consulting</t>
        </is>
      </c>
      <c r="E17" s="13" t="inlineStr">
        <is>
          <t>smurphy@icc-comply.com</t>
        </is>
      </c>
      <c r="F17" s="14" t="inlineStr">
        <is>
          <t>verified</t>
        </is>
      </c>
      <c r="G17" s="13" t="inlineStr">
        <is>
          <t>/in/stephen-murphy-cfa-9903874</t>
        </is>
      </c>
      <c r="H17" s="11" t="inlineStr">
        <is>
          <t>Email</t>
        </is>
      </c>
      <c r="I17" s="12" t="n">
        <v>1</v>
      </c>
      <c r="J17" s="18" t="inlineStr"/>
      <c r="K17" s="18" t="inlineStr"/>
      <c r="L17" s="18" t="inlineStr"/>
      <c r="M17" s="18" t="inlineStr"/>
    </row>
    <row r="18">
      <c r="A18" s="11" t="inlineStr">
        <is>
          <t>Boutique compliance</t>
        </is>
      </c>
      <c r="B18" s="11" t="inlineStr">
        <is>
          <t>Jennifer Mascioli-Tudor</t>
        </is>
      </c>
      <c r="C18" s="11" t="inlineStr">
        <is>
          <t>Founder and Principal Consultant</t>
        </is>
      </c>
      <c r="D18" s="11" t="inlineStr">
        <is>
          <t>JMT Compliance Consulting</t>
        </is>
      </c>
      <c r="E18" s="13" t="inlineStr">
        <is>
          <t>jennifer@jmtcompliance.com</t>
        </is>
      </c>
      <c r="F18" s="14" t="inlineStr">
        <is>
          <t>verified</t>
        </is>
      </c>
      <c r="G18" s="13" t="inlineStr">
        <is>
          <t>/in/jennifermascioli</t>
        </is>
      </c>
      <c r="H18" s="11" t="inlineStr">
        <is>
          <t>Email</t>
        </is>
      </c>
      <c r="I18" s="12" t="n">
        <v>0</v>
      </c>
      <c r="J18" s="18" t="inlineStr"/>
      <c r="K18" s="18" t="inlineStr"/>
      <c r="L18" s="18" t="inlineStr"/>
      <c r="M18" s="18" t="inlineStr"/>
    </row>
    <row r="19">
      <c r="A19" s="11" t="inlineStr">
        <is>
          <t>Boutique compliance</t>
        </is>
      </c>
      <c r="B19" s="11" t="inlineStr">
        <is>
          <t>Matthew Swendiman</t>
        </is>
      </c>
      <c r="C19" s="11" t="inlineStr">
        <is>
          <t>President and Chief Executive Officer</t>
        </is>
      </c>
      <c r="D19" s="11" t="inlineStr">
        <is>
          <t>Key Bridge Compliance</t>
        </is>
      </c>
      <c r="E19" s="13" t="inlineStr">
        <is>
          <t>mswendiman@keybridgecompliance.com</t>
        </is>
      </c>
      <c r="F19" s="14" t="inlineStr">
        <is>
          <t>verified</t>
        </is>
      </c>
      <c r="G19" s="13" t="inlineStr">
        <is>
          <t>/in/matthewswendiman</t>
        </is>
      </c>
      <c r="H19" s="11" t="inlineStr">
        <is>
          <t>Email</t>
        </is>
      </c>
      <c r="I19" s="12" t="n">
        <v>0</v>
      </c>
      <c r="J19" s="18" t="inlineStr"/>
      <c r="K19" s="18" t="inlineStr"/>
      <c r="L19" s="18" t="inlineStr"/>
      <c r="M19" s="18" t="inlineStr"/>
    </row>
    <row r="20">
      <c r="A20" s="11" t="inlineStr">
        <is>
          <t>Boutique compliance</t>
        </is>
      </c>
      <c r="B20" s="11" t="inlineStr">
        <is>
          <t>Luisa Franco</t>
        </is>
      </c>
      <c r="C20" s="11" t="inlineStr">
        <is>
          <t>CEO &amp; Founder</t>
        </is>
      </c>
      <c r="D20" s="11" t="inlineStr">
        <is>
          <t>LFP Risk Solutions</t>
        </is>
      </c>
      <c r="E20" s="13" t="inlineStr">
        <is>
          <t>luisa@lfprisksolutions.com</t>
        </is>
      </c>
      <c r="F20" s="14" t="inlineStr">
        <is>
          <t>verified</t>
        </is>
      </c>
      <c r="G20" s="13" t="inlineStr">
        <is>
          <t>/in/luisafranco1</t>
        </is>
      </c>
      <c r="H20" s="11" t="inlineStr">
        <is>
          <t>Email</t>
        </is>
      </c>
      <c r="I20" s="12" t="n">
        <v>0</v>
      </c>
      <c r="J20" s="18" t="inlineStr"/>
      <c r="K20" s="18" t="inlineStr"/>
      <c r="L20" s="18" t="inlineStr"/>
      <c r="M20" s="18" t="inlineStr"/>
    </row>
    <row r="21">
      <c r="A21" s="11" t="inlineStr">
        <is>
          <t>Boutique compliance</t>
        </is>
      </c>
      <c r="B21" s="11" t="inlineStr">
        <is>
          <t>Ken Norensberg</t>
        </is>
      </c>
      <c r="C21" s="11" t="inlineStr">
        <is>
          <t>Chief Executive Officer</t>
        </is>
      </c>
      <c r="D21" s="11" t="inlineStr">
        <is>
          <t>Luxor Financial Group/Broker Dealer/Registered Investment Adviser Experts</t>
        </is>
      </c>
      <c r="E21" s="13" t="inlineStr">
        <is>
          <t>ken@luxorbd.com</t>
        </is>
      </c>
      <c r="F21" s="14" t="inlineStr">
        <is>
          <t>verified</t>
        </is>
      </c>
      <c r="G21" s="13" t="inlineStr">
        <is>
          <t>/in/kennorensberg</t>
        </is>
      </c>
      <c r="H21" s="11" t="inlineStr">
        <is>
          <t>Email</t>
        </is>
      </c>
      <c r="I21" s="12" t="n">
        <v>0</v>
      </c>
      <c r="J21" s="18" t="inlineStr"/>
      <c r="K21" s="18" t="inlineStr"/>
      <c r="L21" s="18" t="inlineStr"/>
      <c r="M21" s="18" t="inlineStr"/>
    </row>
    <row r="22">
      <c r="A22" s="11" t="inlineStr">
        <is>
          <t>Boutique compliance</t>
        </is>
      </c>
      <c r="B22" s="11" t="inlineStr">
        <is>
          <t>Giovanni Corrado</t>
        </is>
      </c>
      <c r="C22" s="11" t="inlineStr">
        <is>
          <t>CEO</t>
        </is>
      </c>
      <c r="D22" s="11" t="inlineStr">
        <is>
          <t>NextReg</t>
        </is>
      </c>
      <c r="E22" s="13" t="inlineStr">
        <is>
          <t>gio@thenextreg.com</t>
        </is>
      </c>
      <c r="F22" s="14" t="inlineStr">
        <is>
          <t>verified</t>
        </is>
      </c>
      <c r="G22" s="13" t="inlineStr">
        <is>
          <t>/in/giovannicorrado1</t>
        </is>
      </c>
      <c r="H22" s="11" t="inlineStr">
        <is>
          <t>Email</t>
        </is>
      </c>
      <c r="I22" s="12" t="n">
        <v>0</v>
      </c>
      <c r="J22" s="18" t="inlineStr"/>
      <c r="K22" s="18" t="inlineStr"/>
      <c r="L22" s="18" t="inlineStr"/>
      <c r="M22" s="18" t="inlineStr"/>
    </row>
    <row r="23">
      <c r="A23" s="11" t="inlineStr">
        <is>
          <t>Boutique compliance</t>
        </is>
      </c>
      <c r="B23" s="11" t="inlineStr">
        <is>
          <t>Victoria Hogan</t>
        </is>
      </c>
      <c r="C23" s="11" t="inlineStr">
        <is>
          <t>President</t>
        </is>
      </c>
      <c r="D23" s="11" t="inlineStr">
        <is>
          <t>NorthPoint Compliance LLC</t>
        </is>
      </c>
      <c r="E23" s="13" t="inlineStr">
        <is>
          <t>vhogan@npcomply.com</t>
        </is>
      </c>
      <c r="F23" s="14" t="inlineStr">
        <is>
          <t>verified</t>
        </is>
      </c>
      <c r="G23" s="13" t="inlineStr">
        <is>
          <t>/in/victoria-g-hogan-cfa-331217a</t>
        </is>
      </c>
      <c r="H23" s="11" t="inlineStr">
        <is>
          <t>Email</t>
        </is>
      </c>
      <c r="I23" s="12" t="n">
        <v>0</v>
      </c>
      <c r="J23" s="18" t="inlineStr"/>
      <c r="K23" s="18" t="inlineStr"/>
      <c r="L23" s="18" t="inlineStr"/>
      <c r="M23" s="18" t="inlineStr"/>
    </row>
    <row r="24">
      <c r="A24" s="11" t="inlineStr">
        <is>
          <t>Boutique compliance</t>
        </is>
      </c>
      <c r="B24" s="11" t="inlineStr">
        <is>
          <t>Jonathan Saxton</t>
        </is>
      </c>
      <c r="C24" s="11" t="inlineStr">
        <is>
          <t>CEO/Founder</t>
        </is>
      </c>
      <c r="D24" s="11" t="inlineStr">
        <is>
          <t>Optima Partners</t>
        </is>
      </c>
      <c r="E24" s="13" t="inlineStr">
        <is>
          <t>jonathan.saxton@optima-partners.com</t>
        </is>
      </c>
      <c r="F24" s="14" t="inlineStr">
        <is>
          <t>verified</t>
        </is>
      </c>
      <c r="G24" s="13" t="inlineStr">
        <is>
          <t>/in/jonathan-saxton-12588013</t>
        </is>
      </c>
      <c r="H24" s="11" t="inlineStr">
        <is>
          <t>Email</t>
        </is>
      </c>
      <c r="I24" s="12" t="n">
        <v>4</v>
      </c>
      <c r="J24" s="18" t="inlineStr"/>
      <c r="K24" s="18" t="inlineStr"/>
      <c r="L24" s="18" t="inlineStr"/>
      <c r="M24" s="18" t="inlineStr"/>
    </row>
    <row r="25">
      <c r="A25" s="11" t="inlineStr">
        <is>
          <t>Boutique compliance</t>
        </is>
      </c>
      <c r="B25" s="11" t="inlineStr">
        <is>
          <t>Pawneet Abramowski</t>
        </is>
      </c>
      <c r="C25" s="11" t="inlineStr">
        <is>
          <t>CEO &amp; Founder</t>
        </is>
      </c>
      <c r="D25" s="11" t="inlineStr">
        <is>
          <t>PARC Solutions</t>
        </is>
      </c>
      <c r="E25" s="13" t="inlineStr">
        <is>
          <t>pawneet@parcsolutionsllc.com</t>
        </is>
      </c>
      <c r="F25" s="14" t="inlineStr">
        <is>
          <t>verified</t>
        </is>
      </c>
      <c r="G25" s="13" t="inlineStr">
        <is>
          <t>/in/pawneet</t>
        </is>
      </c>
      <c r="H25" s="11" t="inlineStr">
        <is>
          <t>Email</t>
        </is>
      </c>
      <c r="I25" s="12" t="n">
        <v>0</v>
      </c>
      <c r="J25" s="18" t="inlineStr"/>
      <c r="K25" s="18" t="inlineStr"/>
      <c r="L25" s="18" t="inlineStr"/>
      <c r="M25" s="18" t="inlineStr"/>
    </row>
    <row r="26">
      <c r="A26" s="11" t="inlineStr">
        <is>
          <t>Boutique compliance</t>
        </is>
      </c>
      <c r="B26" s="11" t="inlineStr">
        <is>
          <t>David Lombardy</t>
        </is>
      </c>
      <c r="C26" s="11" t="inlineStr">
        <is>
          <t>Founder and Principal</t>
        </is>
      </c>
      <c r="D26" s="11" t="inlineStr">
        <is>
          <t>Pillar Compliance Group</t>
        </is>
      </c>
      <c r="E26" s="13" t="inlineStr">
        <is>
          <t>dlombardy@pillarcompliance.com</t>
        </is>
      </c>
      <c r="F26" s="14" t="inlineStr">
        <is>
          <t>verified</t>
        </is>
      </c>
      <c r="G26" s="13" t="inlineStr">
        <is>
          <t>/in/david-lombardy-6472a5</t>
        </is>
      </c>
      <c r="H26" s="11" t="inlineStr">
        <is>
          <t>Email</t>
        </is>
      </c>
      <c r="I26" s="12" t="n">
        <v>0</v>
      </c>
      <c r="J26" s="18" t="inlineStr"/>
      <c r="K26" s="18" t="inlineStr"/>
      <c r="L26" s="18" t="inlineStr"/>
      <c r="M26" s="18" t="inlineStr"/>
    </row>
    <row r="27">
      <c r="A27" s="11" t="inlineStr">
        <is>
          <t>Boutique compliance</t>
        </is>
      </c>
      <c r="B27" s="11" t="inlineStr">
        <is>
          <t>Calvin Robinson</t>
        </is>
      </c>
      <c r="C27" s="11" t="inlineStr">
        <is>
          <t>Managing Partner</t>
        </is>
      </c>
      <c r="D27" s="11" t="inlineStr">
        <is>
          <t>Quadrant Regulatory Group</t>
        </is>
      </c>
      <c r="E27" s="13" t="inlineStr">
        <is>
          <t>crobinson@quadrantregulatory.com</t>
        </is>
      </c>
      <c r="F27" s="14" t="inlineStr">
        <is>
          <t>verified</t>
        </is>
      </c>
      <c r="G27" s="13" t="inlineStr">
        <is>
          <t>/in/calvinarobinson</t>
        </is>
      </c>
      <c r="H27" s="11" t="inlineStr">
        <is>
          <t>Email</t>
        </is>
      </c>
      <c r="I27" s="12" t="n">
        <v>2</v>
      </c>
      <c r="J27" s="18" t="inlineStr"/>
      <c r="K27" s="18" t="inlineStr"/>
      <c r="L27" s="18" t="inlineStr"/>
      <c r="M27" s="18" t="inlineStr"/>
    </row>
    <row r="28">
      <c r="A28" s="11" t="inlineStr">
        <is>
          <t>Boutique compliance</t>
        </is>
      </c>
      <c r="B28" s="11" t="inlineStr">
        <is>
          <t>Gerard Clark</t>
        </is>
      </c>
      <c r="C28" s="11" t="inlineStr">
        <is>
          <t>Chief Executive Officer</t>
        </is>
      </c>
      <c r="D28" s="11" t="inlineStr">
        <is>
          <t>Regulatory Compliance LLC</t>
        </is>
      </c>
      <c r="E28" s="11" t="inlineStr"/>
      <c r="F28" s="16" t="inlineStr">
        <is>
          <t>unavailable</t>
        </is>
      </c>
      <c r="G28" s="13" t="inlineStr">
        <is>
          <t>/in/gerard-clark</t>
        </is>
      </c>
      <c r="H28" s="11" t="inlineStr">
        <is>
          <t>LinkedIn only</t>
        </is>
      </c>
      <c r="I28" s="12" t="n">
        <v>0</v>
      </c>
      <c r="J28" s="18" t="inlineStr"/>
      <c r="K28" s="18" t="inlineStr"/>
      <c r="L28" s="18" t="inlineStr"/>
      <c r="M28" s="18" t="inlineStr"/>
    </row>
    <row r="29">
      <c r="A29" s="11" t="inlineStr">
        <is>
          <t>Boutique compliance</t>
        </is>
      </c>
      <c r="B29" s="11" t="inlineStr">
        <is>
          <t>Ivan Barretto</t>
        </is>
      </c>
      <c r="C29" s="11" t="inlineStr">
        <is>
          <t>Founder and Managing Director</t>
        </is>
      </c>
      <c r="D29" s="11" t="inlineStr">
        <is>
          <t>RIA Compliance Concepts</t>
        </is>
      </c>
      <c r="E29" s="13" t="inlineStr">
        <is>
          <t>ivan@riacc.io</t>
        </is>
      </c>
      <c r="F29" s="14" t="inlineStr">
        <is>
          <t>verified</t>
        </is>
      </c>
      <c r="G29" s="13" t="inlineStr">
        <is>
          <t>/in/ivanbarretto30</t>
        </is>
      </c>
      <c r="H29" s="11" t="inlineStr">
        <is>
          <t>Email</t>
        </is>
      </c>
      <c r="I29" s="12" t="n">
        <v>0</v>
      </c>
      <c r="J29" s="18" t="inlineStr"/>
      <c r="K29" s="18" t="inlineStr"/>
      <c r="L29" s="18" t="inlineStr"/>
      <c r="M29" s="18" t="inlineStr"/>
    </row>
    <row r="30">
      <c r="A30" s="11" t="inlineStr">
        <is>
          <t>Boutique compliance</t>
        </is>
      </c>
      <c r="B30" s="11" t="inlineStr">
        <is>
          <t>Richard Rondano</t>
        </is>
      </c>
      <c r="C30" s="11" t="inlineStr">
        <is>
          <t>Managing Partner &amp; Founder</t>
        </is>
      </c>
      <c r="D30" s="11" t="inlineStr">
        <is>
          <t>Risk &amp; Compliance Consulting, LLC</t>
        </is>
      </c>
      <c r="E30" s="11" t="inlineStr"/>
      <c r="F30" s="16" t="inlineStr">
        <is>
          <t>unavailable</t>
        </is>
      </c>
      <c r="G30" s="13" t="inlineStr">
        <is>
          <t>/in/richardrondano</t>
        </is>
      </c>
      <c r="H30" s="11" t="inlineStr">
        <is>
          <t>LinkedIn only</t>
        </is>
      </c>
      <c r="I30" s="12" t="n">
        <v>0</v>
      </c>
      <c r="J30" s="18" t="inlineStr"/>
      <c r="K30" s="18" t="inlineStr"/>
      <c r="L30" s="18" t="inlineStr"/>
      <c r="M30" s="18" t="inlineStr"/>
    </row>
    <row r="31">
      <c r="A31" s="11" t="inlineStr">
        <is>
          <t>Boutique compliance</t>
        </is>
      </c>
      <c r="B31" s="11" t="inlineStr">
        <is>
          <t>Allison Gill</t>
        </is>
      </c>
      <c r="C31" s="11" t="inlineStr">
        <is>
          <t>Managing Director</t>
        </is>
      </c>
      <c r="D31" s="11" t="inlineStr">
        <is>
          <t>RQC Group</t>
        </is>
      </c>
      <c r="E31" s="13" t="inlineStr">
        <is>
          <t>agill@rqcgroup.com</t>
        </is>
      </c>
      <c r="F31" s="14" t="inlineStr">
        <is>
          <t>verified</t>
        </is>
      </c>
      <c r="G31" s="13" t="inlineStr">
        <is>
          <t>/in/allison-gill-9860734</t>
        </is>
      </c>
      <c r="H31" s="11" t="inlineStr">
        <is>
          <t>Email</t>
        </is>
      </c>
      <c r="I31" s="12" t="n">
        <v>0</v>
      </c>
      <c r="J31" s="18" t="inlineStr"/>
      <c r="K31" s="18" t="inlineStr"/>
      <c r="L31" s="18" t="inlineStr"/>
      <c r="M31" s="18" t="inlineStr"/>
    </row>
    <row r="32">
      <c r="A32" s="11" t="inlineStr">
        <is>
          <t>Boutique compliance</t>
        </is>
      </c>
      <c r="B32" s="11" t="inlineStr">
        <is>
          <t>Janaya Moscony</t>
        </is>
      </c>
      <c r="C32" s="11" t="inlineStr">
        <is>
          <t>President</t>
        </is>
      </c>
      <c r="D32" s="11" t="inlineStr">
        <is>
          <t>SEC Compliance Consultants, Inc. (SEC3)</t>
        </is>
      </c>
      <c r="E32" s="13" t="inlineStr">
        <is>
          <t>janaya@sec3compliance.com</t>
        </is>
      </c>
      <c r="F32" s="14" t="inlineStr">
        <is>
          <t>verified</t>
        </is>
      </c>
      <c r="G32" s="13" t="inlineStr">
        <is>
          <t>/in/janayasec3</t>
        </is>
      </c>
      <c r="H32" s="11" t="inlineStr">
        <is>
          <t>Email</t>
        </is>
      </c>
      <c r="I32" s="12" t="n">
        <v>0</v>
      </c>
      <c r="J32" s="18" t="inlineStr"/>
      <c r="K32" s="18" t="inlineStr"/>
      <c r="L32" s="18" t="inlineStr"/>
      <c r="M32" s="18" t="inlineStr"/>
    </row>
    <row r="33">
      <c r="A33" s="11" t="inlineStr">
        <is>
          <t>Boutique compliance</t>
        </is>
      </c>
      <c r="B33" s="11" t="inlineStr">
        <is>
          <t>Brian Kesselman</t>
        </is>
      </c>
      <c r="C33" s="11" t="inlineStr">
        <is>
          <t>Founder/CRO</t>
        </is>
      </c>
      <c r="D33" s="11" t="inlineStr">
        <is>
          <t>Skematic</t>
        </is>
      </c>
      <c r="E33" s="13" t="inlineStr">
        <is>
          <t>brian@skematic.com</t>
        </is>
      </c>
      <c r="F33" s="14" t="inlineStr">
        <is>
          <t>verified</t>
        </is>
      </c>
      <c r="G33" s="13" t="inlineStr">
        <is>
          <t>/in/brian-kesselman</t>
        </is>
      </c>
      <c r="H33" s="11" t="inlineStr">
        <is>
          <t>Email</t>
        </is>
      </c>
      <c r="I33" s="12" t="n">
        <v>1</v>
      </c>
      <c r="J33" s="18" t="inlineStr"/>
      <c r="K33" s="18" t="inlineStr"/>
      <c r="L33" s="18" t="inlineStr"/>
      <c r="M33" s="18" t="inlineStr"/>
    </row>
    <row r="34">
      <c r="A34" s="11" t="inlineStr">
        <is>
          <t>Boutique compliance</t>
        </is>
      </c>
      <c r="B34" s="11" t="inlineStr">
        <is>
          <t>Jon Lo</t>
        </is>
      </c>
      <c r="C34" s="11" t="inlineStr">
        <is>
          <t>Co-Founder &amp; Managing Director</t>
        </is>
      </c>
      <c r="D34" s="11" t="inlineStr">
        <is>
          <t>StrategyBRIX</t>
        </is>
      </c>
      <c r="E34" s="13" t="inlineStr">
        <is>
          <t>jon@strategybrix.com</t>
        </is>
      </c>
      <c r="F34" s="14" t="inlineStr">
        <is>
          <t>verified</t>
        </is>
      </c>
      <c r="G34" s="13" t="inlineStr">
        <is>
          <t>/in/jon-lo-cams</t>
        </is>
      </c>
      <c r="H34" s="11" t="inlineStr">
        <is>
          <t>Email</t>
        </is>
      </c>
      <c r="I34" s="12" t="n">
        <v>0</v>
      </c>
      <c r="J34" s="18" t="inlineStr"/>
      <c r="K34" s="18" t="inlineStr"/>
      <c r="L34" s="18" t="inlineStr"/>
      <c r="M34" s="18" t="inlineStr"/>
    </row>
    <row r="35">
      <c r="A35" s="11" t="inlineStr">
        <is>
          <t>Boutique compliance</t>
        </is>
      </c>
      <c r="B35" s="11" t="inlineStr">
        <is>
          <t>Gerald Roop</t>
        </is>
      </c>
      <c r="C35" s="11" t="inlineStr">
        <is>
          <t>Principal</t>
        </is>
      </c>
      <c r="D35" s="11" t="inlineStr">
        <is>
          <t>Treliant (Acquired by Huron - 2025)</t>
        </is>
      </c>
      <c r="E35" s="11" t="inlineStr"/>
      <c r="F35" s="16" t="inlineStr">
        <is>
          <t>unavailable</t>
        </is>
      </c>
      <c r="G35" s="13" t="inlineStr">
        <is>
          <t>/in/gerald-roop-285639b</t>
        </is>
      </c>
      <c r="H35" s="11" t="inlineStr">
        <is>
          <t>LinkedIn only</t>
        </is>
      </c>
      <c r="I35" s="12" t="n">
        <v>0</v>
      </c>
      <c r="J35" s="18" t="inlineStr"/>
      <c r="K35" s="18" t="inlineStr"/>
      <c r="L35" s="18" t="inlineStr"/>
      <c r="M35" s="18" t="inlineStr"/>
    </row>
    <row r="36">
      <c r="A36" s="11" t="inlineStr">
        <is>
          <t>Boutique compliance</t>
        </is>
      </c>
      <c r="B36" s="11" t="inlineStr">
        <is>
          <t>Dorothy Dewitt</t>
        </is>
      </c>
      <c r="C36" s="11" t="inlineStr">
        <is>
          <t>Founder, CEO</t>
        </is>
      </c>
      <c r="D36" s="11" t="inlineStr">
        <is>
          <t>Tölt Strategies</t>
        </is>
      </c>
      <c r="E36" s="13" t="inlineStr">
        <is>
          <t>dorothy.dewitt@toltstrategies.com</t>
        </is>
      </c>
      <c r="F36" s="14" t="inlineStr">
        <is>
          <t>verified</t>
        </is>
      </c>
      <c r="G36" s="13" t="inlineStr">
        <is>
          <t>/in/dorothydewitt</t>
        </is>
      </c>
      <c r="H36" s="11" t="inlineStr">
        <is>
          <t>Email</t>
        </is>
      </c>
      <c r="I36" s="12" t="n">
        <v>0</v>
      </c>
      <c r="J36" s="18" t="inlineStr"/>
      <c r="K36" s="18" t="inlineStr"/>
      <c r="L36" s="18" t="inlineStr"/>
      <c r="M36" s="18" t="inlineStr"/>
    </row>
    <row r="37">
      <c r="A37" s="11" t="inlineStr">
        <is>
          <t>Boutique compliance</t>
        </is>
      </c>
      <c r="B37" s="11" t="inlineStr">
        <is>
          <t>Michael Evans</t>
        </is>
      </c>
      <c r="C37" s="11" t="inlineStr">
        <is>
          <t>Founder</t>
        </is>
      </c>
      <c r="D37" s="11" t="inlineStr">
        <is>
          <t>VEGA Compliance Consulting &amp; Expert Witness</t>
        </is>
      </c>
      <c r="E37" s="13" t="inlineStr">
        <is>
          <t>mike.evans@vegacompliance.com</t>
        </is>
      </c>
      <c r="F37" s="14" t="inlineStr">
        <is>
          <t>verified</t>
        </is>
      </c>
      <c r="G37" s="13" t="inlineStr">
        <is>
          <t>/in/mgevans</t>
        </is>
      </c>
      <c r="H37" s="11" t="inlineStr">
        <is>
          <t>Email</t>
        </is>
      </c>
      <c r="I37" s="12" t="n">
        <v>0</v>
      </c>
      <c r="J37" s="18" t="inlineStr"/>
      <c r="K37" s="18" t="inlineStr"/>
      <c r="L37" s="18" t="inlineStr"/>
      <c r="M37" s="18" t="inlineStr"/>
    </row>
    <row r="38">
      <c r="A38" s="11" t="inlineStr">
        <is>
          <t>Boutique compliance</t>
        </is>
      </c>
      <c r="B38" s="11" t="inlineStr">
        <is>
          <t>Joe Paul</t>
        </is>
      </c>
      <c r="C38" s="11" t="inlineStr">
        <is>
          <t>Principal and Assurance Practice Leader</t>
        </is>
      </c>
      <c r="D38" s="11" t="inlineStr">
        <is>
          <t>Venning</t>
        </is>
      </c>
      <c r="E38" s="13" t="inlineStr">
        <is>
          <t>jpaul@venningadvisors.com</t>
        </is>
      </c>
      <c r="F38" s="14" t="inlineStr">
        <is>
          <t>verified</t>
        </is>
      </c>
      <c r="G38" s="13" t="inlineStr">
        <is>
          <t>/in/josephhpaul</t>
        </is>
      </c>
      <c r="H38" s="11" t="inlineStr">
        <is>
          <t>Email</t>
        </is>
      </c>
      <c r="I38" s="12" t="n">
        <v>2</v>
      </c>
      <c r="J38" s="18" t="inlineStr"/>
      <c r="K38" s="18" t="inlineStr"/>
      <c r="L38" s="18" t="inlineStr"/>
      <c r="M38" s="18" t="inlineStr"/>
    </row>
    <row r="39">
      <c r="A39" s="11" t="inlineStr">
        <is>
          <t>Boutique compliance</t>
        </is>
      </c>
      <c r="B39" s="11" t="inlineStr">
        <is>
          <t>Amy Yuter</t>
        </is>
      </c>
      <c r="C39" s="11" t="inlineStr">
        <is>
          <t>Managing Principal</t>
        </is>
      </c>
      <c r="D39" s="11" t="inlineStr">
        <is>
          <t>Yuter Compliance Consulting</t>
        </is>
      </c>
      <c r="E39" s="13" t="inlineStr">
        <is>
          <t>ayuter@yutercompliance.com</t>
        </is>
      </c>
      <c r="F39" s="14" t="inlineStr">
        <is>
          <t>verified</t>
        </is>
      </c>
      <c r="G39" s="13" t="inlineStr">
        <is>
          <t>/in/amy-yuter-b2284544</t>
        </is>
      </c>
      <c r="H39" s="11" t="inlineStr">
        <is>
          <t>Email</t>
        </is>
      </c>
      <c r="I39" s="12" t="n">
        <v>0</v>
      </c>
      <c r="J39" s="18" t="inlineStr"/>
      <c r="K39" s="18" t="inlineStr"/>
      <c r="L39" s="18" t="inlineStr"/>
      <c r="M39" s="18" t="inlineStr"/>
    </row>
    <row r="40">
      <c r="A40" s="11" t="inlineStr">
        <is>
          <t>Compliance (national)</t>
        </is>
      </c>
      <c r="B40" s="11" t="inlineStr">
        <is>
          <t>Allison Jaffe</t>
        </is>
      </c>
      <c r="C40" s="11" t="inlineStr">
        <is>
          <t>Principal and Director of Compliance Programs</t>
        </is>
      </c>
      <c r="D40" s="11" t="inlineStr">
        <is>
          <t>3iCO</t>
        </is>
      </c>
      <c r="E40" s="13" t="inlineStr">
        <is>
          <t>ajaffe@3icollc.com</t>
        </is>
      </c>
      <c r="F40" s="14" t="inlineStr">
        <is>
          <t>verified</t>
        </is>
      </c>
      <c r="G40" s="13" t="inlineStr">
        <is>
          <t>/in/allison-jaffe-3ico</t>
        </is>
      </c>
      <c r="H40" s="11" t="inlineStr">
        <is>
          <t>Email</t>
        </is>
      </c>
      <c r="I40" s="12" t="n">
        <v>0</v>
      </c>
      <c r="J40" s="18" t="inlineStr"/>
      <c r="K40" s="18" t="inlineStr"/>
      <c r="L40" s="18" t="inlineStr"/>
      <c r="M40" s="18" t="inlineStr"/>
    </row>
    <row r="41">
      <c r="A41" s="11" t="inlineStr">
        <is>
          <t>Compliance (national)</t>
        </is>
      </c>
      <c r="B41" s="11" t="inlineStr">
        <is>
          <t>Richard Berthy</t>
        </is>
      </c>
      <c r="C41" s="11" t="inlineStr">
        <is>
          <t>Chief Executive Officer</t>
        </is>
      </c>
      <c r="D41" s="11" t="inlineStr">
        <is>
          <t>ACA Foreside</t>
        </is>
      </c>
      <c r="E41" s="13" t="inlineStr">
        <is>
          <t>rberthy@foreside.com</t>
        </is>
      </c>
      <c r="F41" s="14" t="inlineStr">
        <is>
          <t>verified</t>
        </is>
      </c>
      <c r="G41" s="13" t="inlineStr">
        <is>
          <t>/in/richard-berthy-66812914</t>
        </is>
      </c>
      <c r="H41" s="11" t="inlineStr">
        <is>
          <t>Email</t>
        </is>
      </c>
      <c r="I41" s="12" t="n">
        <v>4</v>
      </c>
      <c r="J41" s="18" t="inlineStr"/>
      <c r="K41" s="18" t="inlineStr"/>
      <c r="L41" s="18" t="inlineStr"/>
      <c r="M41" s="18" t="inlineStr"/>
    </row>
    <row r="42">
      <c r="A42" s="11" t="inlineStr">
        <is>
          <t>Compliance (national)</t>
        </is>
      </c>
      <c r="B42" s="11" t="inlineStr">
        <is>
          <t>Tiffany Ramirez</t>
        </is>
      </c>
      <c r="C42" s="11" t="inlineStr">
        <is>
          <t>Founder and Managing Partner</t>
        </is>
      </c>
      <c r="D42" s="11" t="inlineStr">
        <is>
          <t>Adviser Solutions Group LLC</t>
        </is>
      </c>
      <c r="E42" s="11" t="inlineStr"/>
      <c r="F42" s="16" t="inlineStr">
        <is>
          <t>unavailable</t>
        </is>
      </c>
      <c r="G42" s="13" t="inlineStr">
        <is>
          <t>/in/tiffanylramirez</t>
        </is>
      </c>
      <c r="H42" s="11" t="inlineStr">
        <is>
          <t>LinkedIn only</t>
        </is>
      </c>
      <c r="I42" s="12" t="n">
        <v>0</v>
      </c>
      <c r="J42" s="18" t="inlineStr"/>
      <c r="K42" s="18" t="inlineStr"/>
      <c r="L42" s="18" t="inlineStr"/>
      <c r="M42" s="18" t="inlineStr"/>
    </row>
    <row r="43">
      <c r="A43" s="11" t="inlineStr">
        <is>
          <t>Compliance (national)</t>
        </is>
      </c>
      <c r="B43" s="11" t="inlineStr">
        <is>
          <t>Carrie Rinehart-Bekker</t>
        </is>
      </c>
      <c r="C43" s="11" t="inlineStr">
        <is>
          <t>Founder, CEO, and Managing Member</t>
        </is>
      </c>
      <c r="D43" s="11" t="inlineStr">
        <is>
          <t>Bekker Compliance  Consulting Partners, LLC</t>
        </is>
      </c>
      <c r="E43" s="13" t="inlineStr">
        <is>
          <t>cbekker@bccp-llc.com</t>
        </is>
      </c>
      <c r="F43" s="14" t="inlineStr">
        <is>
          <t>verified</t>
        </is>
      </c>
      <c r="G43" s="13" t="inlineStr">
        <is>
          <t>/in/bekkercompliance</t>
        </is>
      </c>
      <c r="H43" s="11" t="inlineStr">
        <is>
          <t>Email</t>
        </is>
      </c>
      <c r="I43" s="12" t="n">
        <v>0</v>
      </c>
      <c r="J43" s="18" t="inlineStr"/>
      <c r="K43" s="18" t="inlineStr"/>
      <c r="L43" s="18" t="inlineStr"/>
      <c r="M43" s="18" t="inlineStr"/>
    </row>
    <row r="44">
      <c r="A44" s="11" t="inlineStr">
        <is>
          <t>Compliance (national)</t>
        </is>
      </c>
      <c r="B44" s="11" t="inlineStr">
        <is>
          <t>Dan Denton</t>
        </is>
      </c>
      <c r="C44" s="11" t="inlineStr">
        <is>
          <t>Owner</t>
        </is>
      </c>
      <c r="D44" s="11" t="inlineStr">
        <is>
          <t>Business Compliance Partners</t>
        </is>
      </c>
      <c r="E44" s="13" t="inlineStr">
        <is>
          <t>dan@bizcompliancepartners.com</t>
        </is>
      </c>
      <c r="F44" s="14" t="inlineStr">
        <is>
          <t>verified</t>
        </is>
      </c>
      <c r="G44" s="13" t="inlineStr">
        <is>
          <t>/in/dan-denton-742a021b</t>
        </is>
      </c>
      <c r="H44" s="11" t="inlineStr">
        <is>
          <t>Email</t>
        </is>
      </c>
      <c r="I44" s="12" t="n">
        <v>1</v>
      </c>
      <c r="J44" s="18" t="inlineStr"/>
      <c r="K44" s="18" t="inlineStr"/>
      <c r="L44" s="18" t="inlineStr"/>
      <c r="M44" s="18" t="inlineStr"/>
    </row>
    <row r="45">
      <c r="A45" s="11" t="inlineStr">
        <is>
          <t>Compliance (national)</t>
        </is>
      </c>
      <c r="B45" s="11" t="inlineStr">
        <is>
          <t>Robert Williams</t>
        </is>
      </c>
      <c r="C45" s="11" t="inlineStr">
        <is>
          <t>President</t>
        </is>
      </c>
      <c r="D45" s="11" t="inlineStr">
        <is>
          <t>Cohasset Associates, Inc.</t>
        </is>
      </c>
      <c r="E45" s="13" t="inlineStr">
        <is>
          <t>robert.williams@cohasset.com</t>
        </is>
      </c>
      <c r="F45" s="14" t="inlineStr">
        <is>
          <t>verified</t>
        </is>
      </c>
      <c r="G45" s="13" t="inlineStr">
        <is>
          <t>/in/robert-f-williams-6227311b</t>
        </is>
      </c>
      <c r="H45" s="11" t="inlineStr">
        <is>
          <t>Email</t>
        </is>
      </c>
      <c r="I45" s="12" t="n">
        <v>1</v>
      </c>
      <c r="J45" s="18" t="inlineStr"/>
      <c r="K45" s="18" t="inlineStr"/>
      <c r="L45" s="18" t="inlineStr"/>
      <c r="M45" s="18" t="inlineStr"/>
    </row>
    <row r="46">
      <c r="A46" s="11" t="inlineStr">
        <is>
          <t>Compliance (national)</t>
        </is>
      </c>
      <c r="B46" s="11" t="inlineStr">
        <is>
          <t>Craig Neal</t>
        </is>
      </c>
      <c r="C46" s="11" t="inlineStr">
        <is>
          <t>Founder</t>
        </is>
      </c>
      <c r="D46" s="11" t="inlineStr">
        <is>
          <t>Compliance Admins LLC</t>
        </is>
      </c>
      <c r="E46" s="13" t="inlineStr">
        <is>
          <t>craig.neal@complianceadmins.com</t>
        </is>
      </c>
      <c r="F46" s="14" t="inlineStr">
        <is>
          <t>verified</t>
        </is>
      </c>
      <c r="G46" s="13" t="inlineStr">
        <is>
          <t>/in/craigneal</t>
        </is>
      </c>
      <c r="H46" s="11" t="inlineStr">
        <is>
          <t>Email</t>
        </is>
      </c>
      <c r="I46" s="12" t="n">
        <v>0</v>
      </c>
      <c r="J46" s="18" t="inlineStr"/>
      <c r="K46" s="18" t="inlineStr"/>
      <c r="L46" s="18" t="inlineStr"/>
      <c r="M46" s="18" t="inlineStr"/>
    </row>
    <row r="47">
      <c r="A47" s="11" t="inlineStr">
        <is>
          <t>Compliance (national)</t>
        </is>
      </c>
      <c r="B47" s="11" t="inlineStr">
        <is>
          <t>Alvaro Pereyra</t>
        </is>
      </c>
      <c r="C47" s="11" t="inlineStr">
        <is>
          <t>Broker Dealer Chief Executive Officer</t>
        </is>
      </c>
      <c r="D47" s="11" t="inlineStr">
        <is>
          <t>Compliance Exchange Group (CXG)</t>
        </is>
      </c>
      <c r="E47" s="13" t="inlineStr">
        <is>
          <t>apereyra@cxgllc.com</t>
        </is>
      </c>
      <c r="F47" s="14" t="inlineStr">
        <is>
          <t>verified</t>
        </is>
      </c>
      <c r="G47" s="13" t="inlineStr">
        <is>
          <t>/in/alvaro-pereyra-7503a18</t>
        </is>
      </c>
      <c r="H47" s="11" t="inlineStr">
        <is>
          <t>Email</t>
        </is>
      </c>
      <c r="I47" s="12" t="n">
        <v>1</v>
      </c>
      <c r="J47" s="18" t="inlineStr"/>
      <c r="K47" s="18" t="inlineStr"/>
      <c r="L47" s="18" t="inlineStr"/>
      <c r="M47" s="18" t="inlineStr"/>
    </row>
    <row r="48">
      <c r="A48" s="11" t="inlineStr">
        <is>
          <t>Compliance (national)</t>
        </is>
      </c>
      <c r="B48" s="11" t="inlineStr">
        <is>
          <t>Mitch Avnet</t>
        </is>
      </c>
      <c r="C48" s="11" t="inlineStr">
        <is>
          <t>Managing Partner</t>
        </is>
      </c>
      <c r="D48" s="11" t="inlineStr">
        <is>
          <t>Compliance Risk Concepts (CRC​)</t>
        </is>
      </c>
      <c r="E48" s="13" t="inlineStr">
        <is>
          <t>mavnet@compliance-risk.com</t>
        </is>
      </c>
      <c r="F48" s="14" t="inlineStr">
        <is>
          <t>verified</t>
        </is>
      </c>
      <c r="G48" s="13" t="inlineStr">
        <is>
          <t>/in/mitchavnet</t>
        </is>
      </c>
      <c r="H48" s="11" t="inlineStr">
        <is>
          <t>Email</t>
        </is>
      </c>
      <c r="I48" s="12" t="n">
        <v>3</v>
      </c>
      <c r="J48" s="18" t="inlineStr"/>
      <c r="K48" s="18" t="inlineStr"/>
      <c r="L48" s="18" t="inlineStr"/>
      <c r="M48" s="18" t="inlineStr"/>
    </row>
    <row r="49">
      <c r="A49" s="11" t="inlineStr">
        <is>
          <t>Compliance (national)</t>
        </is>
      </c>
      <c r="B49" s="11" t="inlineStr">
        <is>
          <t>Peter Guarino</t>
        </is>
      </c>
      <c r="C49" s="11" t="inlineStr">
        <is>
          <t>President / Chief Compliance Officer</t>
        </is>
      </c>
      <c r="D49" s="11" t="inlineStr">
        <is>
          <t>Compliance4</t>
        </is>
      </c>
      <c r="E49" s="13" t="inlineStr">
        <is>
          <t>pguarino@compliance4.com</t>
        </is>
      </c>
      <c r="F49" s="14" t="inlineStr">
        <is>
          <t>verified</t>
        </is>
      </c>
      <c r="G49" s="13" t="inlineStr">
        <is>
          <t>/in/peterguarino</t>
        </is>
      </c>
      <c r="H49" s="11" t="inlineStr">
        <is>
          <t>Email</t>
        </is>
      </c>
      <c r="I49" s="12" t="n">
        <v>0</v>
      </c>
      <c r="J49" s="18" t="inlineStr"/>
      <c r="K49" s="18" t="inlineStr"/>
      <c r="L49" s="18" t="inlineStr"/>
      <c r="M49" s="18" t="inlineStr"/>
    </row>
    <row r="50">
      <c r="A50" s="11" t="inlineStr">
        <is>
          <t>Compliance (national)</t>
        </is>
      </c>
      <c r="B50" s="11" t="inlineStr">
        <is>
          <t>Cathy Cucharale</t>
        </is>
      </c>
      <c r="C50" s="11" t="inlineStr">
        <is>
          <t>President</t>
        </is>
      </c>
      <c r="D50" s="11" t="inlineStr">
        <is>
          <t>Cucharale Consulting Group</t>
        </is>
      </c>
      <c r="E50" s="13" t="inlineStr">
        <is>
          <t>ccucharale@cucharalegroup.com</t>
        </is>
      </c>
      <c r="F50" s="14" t="inlineStr">
        <is>
          <t>verified</t>
        </is>
      </c>
      <c r="G50" s="13" t="inlineStr">
        <is>
          <t>/in/cathy-a-cucharale</t>
        </is>
      </c>
      <c r="H50" s="11" t="inlineStr">
        <is>
          <t>Email</t>
        </is>
      </c>
      <c r="I50" s="12" t="n">
        <v>0</v>
      </c>
      <c r="J50" s="18" t="inlineStr"/>
      <c r="K50" s="18" t="inlineStr"/>
      <c r="L50" s="18" t="inlineStr"/>
      <c r="M50" s="18" t="inlineStr"/>
    </row>
    <row r="51">
      <c r="A51" s="11" t="inlineStr">
        <is>
          <t>Compliance (national)</t>
        </is>
      </c>
      <c r="B51" s="11" t="inlineStr">
        <is>
          <t>Jeff Chapman</t>
        </is>
      </c>
      <c r="C51" s="11" t="inlineStr">
        <is>
          <t>Founding Partner, Executive Vice President,</t>
        </is>
      </c>
      <c r="D51" s="11" t="inlineStr">
        <is>
          <t>Dinsmore Compliance Services</t>
        </is>
      </c>
      <c r="E51" s="13" t="inlineStr">
        <is>
          <t>jeff.chapman@dinsmorecomplianceservices.com</t>
        </is>
      </c>
      <c r="F51" s="14" t="inlineStr">
        <is>
          <t>verified</t>
        </is>
      </c>
      <c r="G51" s="13" t="inlineStr">
        <is>
          <t>/in/jeffchapman2</t>
        </is>
      </c>
      <c r="H51" s="11" t="inlineStr">
        <is>
          <t>Email</t>
        </is>
      </c>
      <c r="I51" s="12" t="n">
        <v>4</v>
      </c>
      <c r="J51" s="18" t="inlineStr"/>
      <c r="K51" s="18" t="inlineStr"/>
      <c r="L51" s="18" t="inlineStr"/>
      <c r="M51" s="18" t="inlineStr"/>
    </row>
    <row r="52">
      <c r="A52" s="11" t="inlineStr">
        <is>
          <t>Compliance (national)</t>
        </is>
      </c>
      <c r="B52" s="11" t="inlineStr">
        <is>
          <t>Lance Mackenzie</t>
        </is>
      </c>
      <c r="C52" s="11" t="inlineStr">
        <is>
          <t>President</t>
        </is>
      </c>
      <c r="D52" s="11" t="inlineStr">
        <is>
          <t>eAdvisor Compliance</t>
        </is>
      </c>
      <c r="E52" s="13" t="inlineStr">
        <is>
          <t>lance@eadvisorcompliance.com</t>
        </is>
      </c>
      <c r="F52" s="14" t="inlineStr">
        <is>
          <t>verified</t>
        </is>
      </c>
      <c r="G52" s="13" t="inlineStr">
        <is>
          <t>/in/lancemackenzie</t>
        </is>
      </c>
      <c r="H52" s="11" t="inlineStr">
        <is>
          <t>Email</t>
        </is>
      </c>
      <c r="I52" s="12" t="n">
        <v>0</v>
      </c>
      <c r="J52" s="18" t="inlineStr"/>
      <c r="K52" s="18" t="inlineStr"/>
      <c r="L52" s="18" t="inlineStr"/>
      <c r="M52" s="18" t="inlineStr"/>
    </row>
    <row r="53">
      <c r="A53" s="11" t="inlineStr">
        <is>
          <t>Compliance (national)</t>
        </is>
      </c>
      <c r="B53" s="11" t="inlineStr">
        <is>
          <t>Todd Spillane</t>
        </is>
      </c>
      <c r="C53" s="11" t="inlineStr">
        <is>
          <t>President</t>
        </is>
      </c>
      <c r="D53" s="11" t="inlineStr">
        <is>
          <t>Essential Edge Compliance Outsourcing Services, LLC</t>
        </is>
      </c>
      <c r="E53" s="13" t="inlineStr">
        <is>
          <t>todd@eefirms.com</t>
        </is>
      </c>
      <c r="F53" s="14" t="inlineStr">
        <is>
          <t>verified</t>
        </is>
      </c>
      <c r="G53" s="13" t="inlineStr">
        <is>
          <t>/in/todd-spillane-336a373</t>
        </is>
      </c>
      <c r="H53" s="11" t="inlineStr">
        <is>
          <t>Email</t>
        </is>
      </c>
      <c r="I53" s="12" t="n">
        <v>0</v>
      </c>
      <c r="J53" s="18" t="inlineStr"/>
      <c r="K53" s="18" t="inlineStr"/>
      <c r="L53" s="18" t="inlineStr"/>
      <c r="M53" s="18" t="inlineStr"/>
    </row>
    <row r="54">
      <c r="A54" s="11" t="inlineStr">
        <is>
          <t>Compliance (national)</t>
        </is>
      </c>
      <c r="B54" s="11" t="inlineStr">
        <is>
          <t>Neil Reithinger</t>
        </is>
      </c>
      <c r="C54" s="11" t="inlineStr">
        <is>
          <t>President</t>
        </is>
      </c>
      <c r="D54" s="11" t="inlineStr">
        <is>
          <t>Eventus Advisory Group, LLC</t>
        </is>
      </c>
      <c r="E54" s="13" t="inlineStr">
        <is>
          <t>nreithinger@eventusag.com</t>
        </is>
      </c>
      <c r="F54" s="14" t="inlineStr">
        <is>
          <t>verified</t>
        </is>
      </c>
      <c r="G54" s="13" t="inlineStr">
        <is>
          <t>/in/neil-reithinger-2849833</t>
        </is>
      </c>
      <c r="H54" s="11" t="inlineStr">
        <is>
          <t>Email</t>
        </is>
      </c>
      <c r="I54" s="12" t="n">
        <v>0</v>
      </c>
      <c r="J54" s="18" t="inlineStr"/>
      <c r="K54" s="18" t="inlineStr"/>
      <c r="L54" s="18" t="inlineStr"/>
      <c r="M54" s="18" t="inlineStr"/>
    </row>
    <row r="55">
      <c r="A55" s="11" t="inlineStr">
        <is>
          <t>Compliance (national)</t>
        </is>
      </c>
      <c r="B55" s="11" t="inlineStr">
        <is>
          <t>Ellen Harvin</t>
        </is>
      </c>
      <c r="C55" s="11" t="inlineStr">
        <is>
          <t>Chief Executive Officer, Fairview® Compliance Administration</t>
        </is>
      </c>
      <c r="D55" s="11" t="inlineStr">
        <is>
          <t>Fairview LLC</t>
        </is>
      </c>
      <c r="E55" s="13" t="inlineStr">
        <is>
          <t>ellen.harvin@fairviewinvest.com</t>
        </is>
      </c>
      <c r="F55" s="14" t="inlineStr">
        <is>
          <t>verified</t>
        </is>
      </c>
      <c r="G55" s="13" t="inlineStr">
        <is>
          <t>/in/ellen-harvin-838a264b</t>
        </is>
      </c>
      <c r="H55" s="11" t="inlineStr">
        <is>
          <t>Email</t>
        </is>
      </c>
      <c r="I55" s="12" t="n">
        <v>2</v>
      </c>
      <c r="J55" s="18" t="inlineStr"/>
      <c r="K55" s="18" t="inlineStr"/>
      <c r="L55" s="18" t="inlineStr"/>
      <c r="M55" s="18" t="inlineStr"/>
    </row>
    <row r="56">
      <c r="A56" s="11" t="inlineStr">
        <is>
          <t>Compliance (national)</t>
        </is>
      </c>
      <c r="B56" s="11" t="inlineStr">
        <is>
          <t>Scott Homuth</t>
        </is>
      </c>
      <c r="C56" s="11" t="inlineStr">
        <is>
          <t>SVP / Regulatory &amp; Compliance Practice Lead</t>
        </is>
      </c>
      <c r="D56" s="11" t="inlineStr">
        <is>
          <t>FITS Consulting</t>
        </is>
      </c>
      <c r="E56" s="13" t="inlineStr">
        <is>
          <t>shomuth@fitsconsulting.com</t>
        </is>
      </c>
      <c r="F56" s="14" t="inlineStr">
        <is>
          <t>verified</t>
        </is>
      </c>
      <c r="G56" s="13" t="inlineStr">
        <is>
          <t>/in/smhomuth</t>
        </is>
      </c>
      <c r="H56" s="11" t="inlineStr">
        <is>
          <t>Email</t>
        </is>
      </c>
      <c r="I56" s="12" t="n">
        <v>0</v>
      </c>
      <c r="J56" s="18" t="inlineStr"/>
      <c r="K56" s="18" t="inlineStr"/>
      <c r="L56" s="18" t="inlineStr"/>
      <c r="M56" s="18" t="inlineStr"/>
    </row>
    <row r="57">
      <c r="A57" s="11" t="inlineStr">
        <is>
          <t>Compliance (national)</t>
        </is>
      </c>
      <c r="B57" s="11" t="inlineStr">
        <is>
          <t>Chip Arvantides</t>
        </is>
      </c>
      <c r="C57" s="11" t="inlineStr">
        <is>
          <t>Executive Vice President</t>
        </is>
      </c>
      <c r="D57" s="11" t="inlineStr">
        <is>
          <t>FrontLine Compliance</t>
        </is>
      </c>
      <c r="E57" s="11" t="inlineStr"/>
      <c r="F57" s="16" t="inlineStr">
        <is>
          <t>unavailable</t>
        </is>
      </c>
      <c r="G57" s="13" t="inlineStr">
        <is>
          <t>/in/chip-arvantides-3a61098</t>
        </is>
      </c>
      <c r="H57" s="11" t="inlineStr">
        <is>
          <t>LinkedIn only</t>
        </is>
      </c>
      <c r="I57" s="12" t="n">
        <v>0</v>
      </c>
      <c r="J57" s="18" t="inlineStr"/>
      <c r="K57" s="18" t="inlineStr"/>
      <c r="L57" s="18" t="inlineStr"/>
      <c r="M57" s="18" t="inlineStr"/>
    </row>
    <row r="58">
      <c r="A58" s="11" t="inlineStr">
        <is>
          <t>Compliance (national)</t>
        </is>
      </c>
      <c r="B58" s="11" t="inlineStr">
        <is>
          <t>Amy Jones</t>
        </is>
      </c>
      <c r="C58" s="11" t="inlineStr">
        <is>
          <t>Founder, Principal</t>
        </is>
      </c>
      <c r="D58" s="11" t="inlineStr">
        <is>
          <t>Guardian Performance Solutions LLC</t>
        </is>
      </c>
      <c r="E58" s="13" t="inlineStr">
        <is>
          <t>amy@compliantperformance.com</t>
        </is>
      </c>
      <c r="F58" s="14" t="inlineStr">
        <is>
          <t>verified</t>
        </is>
      </c>
      <c r="G58" s="13" t="inlineStr">
        <is>
          <t>/in/amyjonescipm</t>
        </is>
      </c>
      <c r="H58" s="11" t="inlineStr">
        <is>
          <t>Email</t>
        </is>
      </c>
      <c r="I58" s="12" t="n">
        <v>1</v>
      </c>
      <c r="J58" s="18" t="inlineStr"/>
      <c r="K58" s="18" t="inlineStr"/>
      <c r="L58" s="18" t="inlineStr"/>
      <c r="M58" s="18" t="inlineStr"/>
    </row>
    <row r="59">
      <c r="A59" s="11" t="inlineStr">
        <is>
          <t>Compliance (national)</t>
        </is>
      </c>
      <c r="B59" s="11" t="inlineStr">
        <is>
          <t>Stacie Craddock</t>
        </is>
      </c>
      <c r="C59" s="11" t="inlineStr">
        <is>
          <t>Founder &amp; Senior Principal Consultant</t>
        </is>
      </c>
      <c r="D59" s="11" t="inlineStr">
        <is>
          <t>Integrated Compliance Advisors, Ltd.</t>
        </is>
      </c>
      <c r="E59" s="13" t="inlineStr">
        <is>
          <t>stacie@integrated-compliance.com</t>
        </is>
      </c>
      <c r="F59" s="14" t="inlineStr">
        <is>
          <t>verified</t>
        </is>
      </c>
      <c r="G59" s="13" t="inlineStr">
        <is>
          <t>/in/stacie-craddock-17124298</t>
        </is>
      </c>
      <c r="H59" s="11" t="inlineStr">
        <is>
          <t>Email</t>
        </is>
      </c>
      <c r="I59" s="12" t="n">
        <v>0</v>
      </c>
      <c r="J59" s="18" t="inlineStr"/>
      <c r="K59" s="18" t="inlineStr"/>
      <c r="L59" s="18" t="inlineStr"/>
      <c r="M59" s="18" t="inlineStr"/>
    </row>
    <row r="60">
      <c r="A60" s="11" t="inlineStr">
        <is>
          <t>Compliance (national)</t>
        </is>
      </c>
      <c r="B60" s="11" t="inlineStr">
        <is>
          <t>David Millar</t>
        </is>
      </c>
      <c r="C60" s="11" t="inlineStr">
        <is>
          <t>Owner: RIA Registration and Consulting Company</t>
        </is>
      </c>
      <c r="D60" s="11" t="inlineStr">
        <is>
          <t>Integrity Compliance Consulting, Inc.</t>
        </is>
      </c>
      <c r="E60" s="13" t="inlineStr">
        <is>
          <t>dmillar@integrity2c.com</t>
        </is>
      </c>
      <c r="F60" s="14" t="inlineStr">
        <is>
          <t>verified</t>
        </is>
      </c>
      <c r="G60" s="13" t="inlineStr">
        <is>
          <t>/in/millardavidr</t>
        </is>
      </c>
      <c r="H60" s="11" t="inlineStr">
        <is>
          <t>Email</t>
        </is>
      </c>
      <c r="I60" s="12" t="n">
        <v>0</v>
      </c>
      <c r="J60" s="18" t="inlineStr"/>
      <c r="K60" s="18" t="inlineStr"/>
      <c r="L60" s="18" t="inlineStr"/>
      <c r="M60" s="18" t="inlineStr"/>
    </row>
    <row r="61">
      <c r="A61" s="11" t="inlineStr">
        <is>
          <t>Compliance (national)</t>
        </is>
      </c>
      <c r="B61" s="11" t="inlineStr">
        <is>
          <t>Beverly Fetcko</t>
        </is>
      </c>
      <c r="C61" s="11" t="inlineStr">
        <is>
          <t>Vice President</t>
        </is>
      </c>
      <c r="D61" s="11" t="inlineStr">
        <is>
          <t>NCS Regulatory Compliance (now part of Foreside)</t>
        </is>
      </c>
      <c r="E61" s="11" t="inlineStr"/>
      <c r="F61" s="16" t="inlineStr">
        <is>
          <t>unavailable</t>
        </is>
      </c>
      <c r="G61" s="13" t="inlineStr">
        <is>
          <t>/in/beverlyfetcko</t>
        </is>
      </c>
      <c r="H61" s="11" t="inlineStr">
        <is>
          <t>LinkedIn only</t>
        </is>
      </c>
      <c r="I61" s="12" t="n">
        <v>0</v>
      </c>
      <c r="J61" s="18" t="inlineStr"/>
      <c r="K61" s="18" t="inlineStr"/>
      <c r="L61" s="18" t="inlineStr"/>
      <c r="M61" s="18" t="inlineStr"/>
    </row>
    <row r="62">
      <c r="A62" s="11" t="inlineStr">
        <is>
          <t>Compliance (national)</t>
        </is>
      </c>
      <c r="B62" s="11" t="inlineStr">
        <is>
          <t>Gregory Florio</t>
        </is>
      </c>
      <c r="C62" s="11" t="inlineStr">
        <is>
          <t>Co-Managing Member, Founder</t>
        </is>
      </c>
      <c r="D62" s="11" t="inlineStr">
        <is>
          <t>Orical LLC</t>
        </is>
      </c>
      <c r="E62" s="13" t="inlineStr">
        <is>
          <t>gflorio@florioleahy.com</t>
        </is>
      </c>
      <c r="F62" s="14" t="inlineStr">
        <is>
          <t>verified</t>
        </is>
      </c>
      <c r="G62" s="13" t="inlineStr">
        <is>
          <t>/in/gregory-florio-6854433b</t>
        </is>
      </c>
      <c r="H62" s="11" t="inlineStr">
        <is>
          <t>Email</t>
        </is>
      </c>
      <c r="I62" s="12" t="n">
        <v>0</v>
      </c>
      <c r="J62" s="18" t="inlineStr"/>
      <c r="K62" s="18" t="inlineStr"/>
      <c r="L62" s="18" t="inlineStr"/>
      <c r="M62" s="18" t="inlineStr"/>
    </row>
    <row r="63">
      <c r="A63" s="11" t="inlineStr">
        <is>
          <t>Compliance (national)</t>
        </is>
      </c>
      <c r="B63" s="11" t="inlineStr">
        <is>
          <t>Patrick Dennis</t>
        </is>
      </c>
      <c r="C63" s="11" t="inlineStr">
        <is>
          <t>Founder</t>
        </is>
      </c>
      <c r="D63" s="11" t="inlineStr">
        <is>
          <t>Oyster Consulting, LLC</t>
        </is>
      </c>
      <c r="E63" s="13" t="inlineStr">
        <is>
          <t>patrick.dennis@oysterllc.com</t>
        </is>
      </c>
      <c r="F63" s="14" t="inlineStr">
        <is>
          <t>verified</t>
        </is>
      </c>
      <c r="G63" s="13" t="inlineStr">
        <is>
          <t>/in/patrickmdennis</t>
        </is>
      </c>
      <c r="H63" s="11" t="inlineStr">
        <is>
          <t>Email</t>
        </is>
      </c>
      <c r="I63" s="12" t="n">
        <v>7</v>
      </c>
      <c r="J63" s="18" t="inlineStr"/>
      <c r="K63" s="18" t="inlineStr"/>
      <c r="L63" s="18" t="inlineStr"/>
      <c r="M63" s="18" t="inlineStr"/>
    </row>
    <row r="64">
      <c r="A64" s="11" t="inlineStr">
        <is>
          <t>Compliance (national)</t>
        </is>
      </c>
      <c r="B64" s="11" t="inlineStr">
        <is>
          <t>Deirdre Patten</t>
        </is>
      </c>
      <c r="C64" s="11" t="inlineStr">
        <is>
          <t>President/Owner</t>
        </is>
      </c>
      <c r="D64" s="11" t="inlineStr">
        <is>
          <t>Patten Training &amp; Review</t>
        </is>
      </c>
      <c r="E64" s="13" t="inlineStr">
        <is>
          <t>dpatten@pattentraining.com</t>
        </is>
      </c>
      <c r="F64" s="14" t="inlineStr">
        <is>
          <t>verified</t>
        </is>
      </c>
      <c r="G64" s="13" t="inlineStr">
        <is>
          <t>/in/deirdre-patten-65ba755</t>
        </is>
      </c>
      <c r="H64" s="11" t="inlineStr">
        <is>
          <t>Email</t>
        </is>
      </c>
      <c r="I64" s="12" t="n">
        <v>1</v>
      </c>
      <c r="J64" s="18" t="inlineStr"/>
      <c r="K64" s="18" t="inlineStr"/>
      <c r="L64" s="18" t="inlineStr"/>
      <c r="M64" s="18" t="inlineStr"/>
    </row>
    <row r="65">
      <c r="A65" s="11" t="inlineStr">
        <is>
          <t>Compliance (national)</t>
        </is>
      </c>
      <c r="B65" s="11" t="inlineStr">
        <is>
          <t>Deacon Durden</t>
        </is>
      </c>
      <c r="C65" s="11" t="inlineStr">
        <is>
          <t>President/Owner</t>
        </is>
      </c>
      <c r="D65" s="11" t="inlineStr">
        <is>
          <t>QCS Financial Services</t>
        </is>
      </c>
      <c r="E65" s="13" t="inlineStr">
        <is>
          <t>deacon@qcsfinancialservices.com</t>
        </is>
      </c>
      <c r="F65" s="17" t="inlineStr">
        <is>
          <t>extrapolated</t>
        </is>
      </c>
      <c r="G65" s="13" t="inlineStr">
        <is>
          <t>/in/deacon-john-durden-5b6a8517</t>
        </is>
      </c>
      <c r="H65" s="11" t="inlineStr">
        <is>
          <t>LinkedIn (email unverified)</t>
        </is>
      </c>
      <c r="I65" s="12" t="n">
        <v>1</v>
      </c>
      <c r="J65" s="18" t="inlineStr"/>
      <c r="K65" s="18" t="inlineStr"/>
      <c r="L65" s="18" t="inlineStr"/>
      <c r="M65" s="18" t="inlineStr"/>
    </row>
    <row r="66">
      <c r="A66" s="11" t="inlineStr">
        <is>
          <t>Compliance (national)</t>
        </is>
      </c>
      <c r="B66" s="11" t="inlineStr">
        <is>
          <t>Kent Keister</t>
        </is>
      </c>
      <c r="C66" s="11" t="inlineStr">
        <is>
          <t>Founder &amp; Principal Consultant</t>
        </is>
      </c>
      <c r="D66" s="11" t="inlineStr">
        <is>
          <t>Reliant Compliance</t>
        </is>
      </c>
      <c r="E66" s="13" t="inlineStr">
        <is>
          <t>kent@reliantcompliance.com</t>
        </is>
      </c>
      <c r="F66" s="14" t="inlineStr">
        <is>
          <t>verified</t>
        </is>
      </c>
      <c r="G66" s="13" t="inlineStr">
        <is>
          <t>/in/kent-keister</t>
        </is>
      </c>
      <c r="H66" s="11" t="inlineStr">
        <is>
          <t>Email</t>
        </is>
      </c>
      <c r="I66" s="12" t="n">
        <v>0</v>
      </c>
      <c r="J66" s="18" t="inlineStr"/>
      <c r="K66" s="18" t="inlineStr"/>
      <c r="L66" s="18" t="inlineStr"/>
      <c r="M66" s="18" t="inlineStr"/>
    </row>
    <row r="67">
      <c r="A67" s="11" t="inlineStr">
        <is>
          <t>Compliance (national)</t>
        </is>
      </c>
      <c r="B67" s="11" t="inlineStr">
        <is>
          <t>Jarrod James</t>
        </is>
      </c>
      <c r="C67" s="11" t="inlineStr">
        <is>
          <t>Senior Vice President</t>
        </is>
      </c>
      <c r="D67" s="11" t="inlineStr">
        <is>
          <t>RIA Compliance Consultants, Inc.</t>
        </is>
      </c>
      <c r="E67" s="13" t="inlineStr">
        <is>
          <t>jjames@ria-compliance-consultants.com</t>
        </is>
      </c>
      <c r="F67" s="14" t="inlineStr">
        <is>
          <t>verified</t>
        </is>
      </c>
      <c r="G67" s="13" t="inlineStr">
        <is>
          <t>/in/jarrodjames</t>
        </is>
      </c>
      <c r="H67" s="11" t="inlineStr">
        <is>
          <t>Email</t>
        </is>
      </c>
      <c r="I67" s="12" t="n">
        <v>0</v>
      </c>
      <c r="J67" s="18" t="inlineStr"/>
      <c r="K67" s="18" t="inlineStr"/>
      <c r="L67" s="18" t="inlineStr"/>
      <c r="M67" s="18" t="inlineStr"/>
    </row>
    <row r="68">
      <c r="A68" s="11" t="inlineStr">
        <is>
          <t>Compliance (national)</t>
        </is>
      </c>
      <c r="B68" s="11" t="inlineStr">
        <is>
          <t>Blake Bjordahl</t>
        </is>
      </c>
      <c r="C68" s="11" t="inlineStr">
        <is>
          <t>RIA Technology Evangelist | Compliance Specialist | Co-Founder | FinTech &amp; CompTech</t>
        </is>
      </c>
      <c r="D68" s="11" t="inlineStr">
        <is>
          <t>RIA Compliance Technology</t>
        </is>
      </c>
      <c r="E68" s="13" t="inlineStr">
        <is>
          <t>blake@riacomp.com</t>
        </is>
      </c>
      <c r="F68" s="14" t="inlineStr">
        <is>
          <t>verified</t>
        </is>
      </c>
      <c r="G68" s="13" t="inlineStr">
        <is>
          <t>/in/blakebjordahl</t>
        </is>
      </c>
      <c r="H68" s="11" t="inlineStr">
        <is>
          <t>Email</t>
        </is>
      </c>
      <c r="I68" s="12" t="n">
        <v>0</v>
      </c>
      <c r="J68" s="18" t="inlineStr"/>
      <c r="K68" s="18" t="inlineStr"/>
      <c r="L68" s="18" t="inlineStr"/>
      <c r="M68" s="18" t="inlineStr"/>
    </row>
    <row r="69">
      <c r="A69" s="11" t="inlineStr">
        <is>
          <t>Compliance (national)</t>
        </is>
      </c>
      <c r="B69" s="11" t="inlineStr">
        <is>
          <t>Elizabeth Cope</t>
        </is>
      </c>
      <c r="C69" s="11" t="inlineStr">
        <is>
          <t>CEO &amp; Lead Compliance Consultant</t>
        </is>
      </c>
      <c r="D69" s="11" t="inlineStr">
        <is>
          <t>SEC Compliance Solutions LLC</t>
        </is>
      </c>
      <c r="E69" s="13" t="inlineStr">
        <is>
          <t>liz@seccsllc.com</t>
        </is>
      </c>
      <c r="F69" s="14" t="inlineStr">
        <is>
          <t>verified</t>
        </is>
      </c>
      <c r="G69" s="13" t="inlineStr">
        <is>
          <t>/in/elizabeth-cope-cpa-cipm-cscp-b521bb8</t>
        </is>
      </c>
      <c r="H69" s="11" t="inlineStr">
        <is>
          <t>Email</t>
        </is>
      </c>
      <c r="I69" s="12" t="n">
        <v>1</v>
      </c>
      <c r="J69" s="18" t="inlineStr"/>
      <c r="K69" s="18" t="inlineStr"/>
      <c r="L69" s="18" t="inlineStr"/>
      <c r="M69" s="18" t="inlineStr"/>
    </row>
    <row r="70">
      <c r="A70" s="11" t="inlineStr">
        <is>
          <t>Compliance (national)</t>
        </is>
      </c>
      <c r="B70" s="11" t="inlineStr">
        <is>
          <t>Stephen Simon</t>
        </is>
      </c>
      <c r="C70" s="11" t="inlineStr">
        <is>
          <t>President</t>
        </is>
      </c>
      <c r="D70" s="11" t="inlineStr">
        <is>
          <t>Securities Compliance Advisors</t>
        </is>
      </c>
      <c r="E70" s="13" t="inlineStr">
        <is>
          <t>ssimon@secadvisors.com</t>
        </is>
      </c>
      <c r="F70" s="17" t="inlineStr">
        <is>
          <t>extrapolated</t>
        </is>
      </c>
      <c r="G70" s="13" t="inlineStr">
        <is>
          <t>/in/stephen-simon-92301812</t>
        </is>
      </c>
      <c r="H70" s="11" t="inlineStr">
        <is>
          <t>LinkedIn (email unverified)</t>
        </is>
      </c>
      <c r="I70" s="12" t="n">
        <v>0</v>
      </c>
      <c r="J70" s="18" t="inlineStr"/>
      <c r="K70" s="18" t="inlineStr"/>
      <c r="L70" s="18" t="inlineStr"/>
      <c r="M70" s="18" t="inlineStr"/>
    </row>
    <row r="71">
      <c r="A71" s="11" t="inlineStr">
        <is>
          <t>Compliance (national)</t>
        </is>
      </c>
      <c r="B71" s="11" t="inlineStr">
        <is>
          <t>Kyle Weeks</t>
        </is>
      </c>
      <c r="C71" s="11" t="inlineStr">
        <is>
          <t>Owner</t>
        </is>
      </c>
      <c r="D71" s="11" t="inlineStr">
        <is>
          <t>Securities Compliance Management</t>
        </is>
      </c>
      <c r="E71" s="13" t="inlineStr">
        <is>
          <t>kyle.weeks@mastercompliance.com</t>
        </is>
      </c>
      <c r="F71" s="14" t="inlineStr">
        <is>
          <t>verified</t>
        </is>
      </c>
      <c r="G71" s="13" t="inlineStr">
        <is>
          <t>/in/kyleweeks63</t>
        </is>
      </c>
      <c r="H71" s="11" t="inlineStr">
        <is>
          <t>Email</t>
        </is>
      </c>
      <c r="I71" s="12" t="n">
        <v>0</v>
      </c>
      <c r="J71" s="18" t="inlineStr"/>
      <c r="K71" s="18" t="inlineStr"/>
      <c r="L71" s="18" t="inlineStr"/>
      <c r="M71" s="18" t="inlineStr"/>
    </row>
    <row r="72">
      <c r="A72" s="11" t="inlineStr">
        <is>
          <t>Compliance (national)</t>
        </is>
      </c>
      <c r="B72" s="11" t="inlineStr">
        <is>
          <t>Fizza Khan</t>
        </is>
      </c>
      <c r="C72" s="11" t="inlineStr">
        <is>
          <t>Chief Executive Officer</t>
        </is>
      </c>
      <c r="D72" s="11" t="inlineStr">
        <is>
          <t>Silver Regulatory Associates LLC</t>
        </is>
      </c>
      <c r="E72" s="13" t="inlineStr">
        <is>
          <t>fkhan@silverreg.com</t>
        </is>
      </c>
      <c r="F72" s="14" t="inlineStr">
        <is>
          <t>verified</t>
        </is>
      </c>
      <c r="G72" s="13" t="inlineStr">
        <is>
          <t>/in/fizzakhan1</t>
        </is>
      </c>
      <c r="H72" s="11" t="inlineStr">
        <is>
          <t>Email</t>
        </is>
      </c>
      <c r="I72" s="12" t="n">
        <v>0</v>
      </c>
      <c r="J72" s="18" t="inlineStr"/>
      <c r="K72" s="18" t="inlineStr"/>
      <c r="L72" s="18" t="inlineStr"/>
      <c r="M72" s="18" t="inlineStr"/>
    </row>
    <row r="73">
      <c r="A73" s="11" t="inlineStr">
        <is>
          <t>Compliance (national)</t>
        </is>
      </c>
      <c r="B73" s="11" t="inlineStr">
        <is>
          <t>Maureen James</t>
        </is>
      </c>
      <c r="C73" s="11" t="inlineStr">
        <is>
          <t>Owner</t>
        </is>
      </c>
      <c r="D73" s="11" t="inlineStr">
        <is>
          <t>Summit Compliance Group, LLC</t>
        </is>
      </c>
      <c r="E73" s="13" t="inlineStr">
        <is>
          <t>mjames@summitcompliancegroup.com</t>
        </is>
      </c>
      <c r="F73" s="14" t="inlineStr">
        <is>
          <t>verified</t>
        </is>
      </c>
      <c r="G73" s="13" t="inlineStr">
        <is>
          <t>/in/maureenjames1</t>
        </is>
      </c>
      <c r="H73" s="11" t="inlineStr">
        <is>
          <t>Email</t>
        </is>
      </c>
      <c r="I73" s="12" t="n">
        <v>0</v>
      </c>
      <c r="J73" s="18" t="inlineStr"/>
      <c r="K73" s="18" t="inlineStr"/>
      <c r="L73" s="18" t="inlineStr"/>
      <c r="M73" s="18" t="inlineStr"/>
    </row>
    <row r="74">
      <c r="A74" s="11" t="inlineStr">
        <is>
          <t>Enterprise compliance</t>
        </is>
      </c>
      <c r="B74" s="11" t="inlineStr">
        <is>
          <t>Trey Loughran</t>
        </is>
      </c>
      <c r="C74" s="11" t="inlineStr">
        <is>
          <t>Chief Executive Officer</t>
        </is>
      </c>
      <c r="D74" s="11" t="inlineStr">
        <is>
          <t>ACA Group</t>
        </is>
      </c>
      <c r="E74" s="13" t="inlineStr">
        <is>
          <t>trey.loughran@acaglobal.com</t>
        </is>
      </c>
      <c r="F74" s="14" t="inlineStr">
        <is>
          <t>verified</t>
        </is>
      </c>
      <c r="G74" s="13" t="inlineStr">
        <is>
          <t>/in/treyloughran</t>
        </is>
      </c>
      <c r="H74" s="11" t="inlineStr">
        <is>
          <t>Email</t>
        </is>
      </c>
      <c r="I74" s="12" t="n">
        <v>1</v>
      </c>
      <c r="J74" s="18" t="inlineStr"/>
      <c r="K74" s="18" t="inlineStr"/>
      <c r="L74" s="18" t="inlineStr"/>
      <c r="M74" s="18" t="inlineStr"/>
    </row>
    <row r="75">
      <c r="A75" s="11" t="inlineStr">
        <is>
          <t>Enterprise compliance</t>
        </is>
      </c>
      <c r="B75" s="11" t="inlineStr">
        <is>
          <t>Jay Haas</t>
        </is>
      </c>
      <c r="C75" s="11" t="inlineStr">
        <is>
          <t>Managing Director</t>
        </is>
      </c>
      <c r="D75" s="11" t="inlineStr">
        <is>
          <t>Cipperman Compliance Services, LLC (now part of Foreside)</t>
        </is>
      </c>
      <c r="E75" s="11" t="inlineStr"/>
      <c r="F75" s="16" t="inlineStr">
        <is>
          <t>unavailable</t>
        </is>
      </c>
      <c r="G75" s="13" t="inlineStr">
        <is>
          <t>/in/jay-haas-a7560a17</t>
        </is>
      </c>
      <c r="H75" s="11" t="inlineStr">
        <is>
          <t>LinkedIn only</t>
        </is>
      </c>
      <c r="I75" s="12" t="n">
        <v>0</v>
      </c>
      <c r="J75" s="18" t="inlineStr"/>
      <c r="K75" s="18" t="inlineStr"/>
      <c r="L75" s="18" t="inlineStr"/>
      <c r="M75" s="18" t="inlineStr"/>
    </row>
    <row r="76">
      <c r="A76" s="11" t="inlineStr">
        <is>
          <t>Compliance + legal</t>
        </is>
      </c>
      <c r="B76" s="11" t="inlineStr">
        <is>
          <t>Brian Hamburger</t>
        </is>
      </c>
      <c r="C76" s="11" t="inlineStr">
        <is>
          <t>Founder &amp; Chief Executive Officer</t>
        </is>
      </c>
      <c r="D76" s="11" t="inlineStr">
        <is>
          <t>MarketCounsel Consulting</t>
        </is>
      </c>
      <c r="E76" s="13" t="inlineStr">
        <is>
          <t>summit@marketcounsel.com</t>
        </is>
      </c>
      <c r="F76" s="14" t="inlineStr">
        <is>
          <t>verified</t>
        </is>
      </c>
      <c r="G76" s="13" t="inlineStr">
        <is>
          <t>/in/hamburger</t>
        </is>
      </c>
      <c r="H76" s="11" t="inlineStr">
        <is>
          <t>Email</t>
        </is>
      </c>
      <c r="I76" s="12" t="n">
        <v>2</v>
      </c>
      <c r="J76" s="18" t="inlineStr"/>
      <c r="K76" s="18" t="inlineStr"/>
      <c r="L76" s="18" t="inlineStr"/>
      <c r="M76" s="18" t="inlineStr"/>
    </row>
    <row r="77">
      <c r="A77" s="11" t="inlineStr">
        <is>
          <t>Cyber / E&amp;O broker</t>
        </is>
      </c>
      <c r="B77" s="11" t="inlineStr">
        <is>
          <t>Kenneth Golsan</t>
        </is>
      </c>
      <c r="C77" s="11" t="inlineStr">
        <is>
          <t>Co-Founder &amp; Managing Director</t>
        </is>
      </c>
      <c r="D77" s="11" t="inlineStr">
        <is>
          <t>Golsan Scruggs</t>
        </is>
      </c>
      <c r="E77" s="13" t="inlineStr">
        <is>
          <t>kgolsan@golsanscruggs.com</t>
        </is>
      </c>
      <c r="F77" s="14" t="inlineStr">
        <is>
          <t>verified</t>
        </is>
      </c>
      <c r="G77" s="13" t="inlineStr">
        <is>
          <t>/in/kenneth-golsan-46555520</t>
        </is>
      </c>
      <c r="H77" s="11" t="inlineStr">
        <is>
          <t>Email</t>
        </is>
      </c>
      <c r="I77" s="12" t="n">
        <v>1</v>
      </c>
      <c r="J77" s="18" t="inlineStr"/>
      <c r="K77" s="18" t="inlineStr"/>
      <c r="L77" s="18" t="inlineStr"/>
      <c r="M77" s="18" t="inlineStr"/>
    </row>
    <row r="78">
      <c r="A78" s="11" t="inlineStr">
        <is>
          <t>Cyber / E&amp;O broker</t>
        </is>
      </c>
      <c r="B78" s="11" t="inlineStr">
        <is>
          <t>Andrea Dyer</t>
        </is>
      </c>
      <c r="C78" s="11" t="inlineStr">
        <is>
          <t>CEO and President</t>
        </is>
      </c>
      <c r="D78" s="11" t="inlineStr">
        <is>
          <t>HCP National Insurance Services, Inc.</t>
        </is>
      </c>
      <c r="E78" s="13" t="inlineStr">
        <is>
          <t>crisl@hcpnational.com</t>
        </is>
      </c>
      <c r="F78" s="14" t="inlineStr">
        <is>
          <t>verified</t>
        </is>
      </c>
      <c r="G78" s="13" t="inlineStr">
        <is>
          <t>/in/andrea-%e2%80%9ccris%e2%80%9d-dyer-06b58233</t>
        </is>
      </c>
      <c r="H78" s="11" t="inlineStr">
        <is>
          <t>Email</t>
        </is>
      </c>
      <c r="I78" s="12" t="n">
        <v>1</v>
      </c>
      <c r="J78" s="18" t="inlineStr"/>
      <c r="K78" s="18" t="inlineStr"/>
      <c r="L78" s="18" t="inlineStr"/>
      <c r="M78" s="18" t="inlineStr"/>
    </row>
    <row r="79">
      <c r="A79" s="11" t="inlineStr">
        <is>
          <t>Cyber / E&amp;O broker</t>
        </is>
      </c>
      <c r="B79" s="11" t="inlineStr">
        <is>
          <t>Nathan Borghardt</t>
        </is>
      </c>
      <c r="C79" s="11" t="inlineStr">
        <is>
          <t>AVP-Business Development Executive</t>
        </is>
      </c>
      <c r="D79" s="11" t="inlineStr">
        <is>
          <t>Lockton Affinity</t>
        </is>
      </c>
      <c r="E79" s="13" t="inlineStr">
        <is>
          <t>nborghardt@locktonaffinity.com</t>
        </is>
      </c>
      <c r="F79" s="14" t="inlineStr">
        <is>
          <t>verified</t>
        </is>
      </c>
      <c r="G79" s="13" t="inlineStr">
        <is>
          <t>/in/nathan-borghardt-95224253</t>
        </is>
      </c>
      <c r="H79" s="11" t="inlineStr">
        <is>
          <t>Email</t>
        </is>
      </c>
      <c r="I79" s="12" t="n">
        <v>2</v>
      </c>
      <c r="J79" s="18" t="inlineStr"/>
      <c r="K79" s="18" t="inlineStr"/>
      <c r="L79" s="18" t="inlineStr"/>
      <c r="M79" s="18" t="inlineStr"/>
    </row>
    <row r="80">
      <c r="A80" s="11" t="inlineStr">
        <is>
          <t>Cyber / E&amp;O broker</t>
        </is>
      </c>
      <c r="B80" s="11" t="inlineStr">
        <is>
          <t>Karen Coyle</t>
        </is>
      </c>
      <c r="C80" s="11" t="inlineStr">
        <is>
          <t>Vice President of Operations</t>
        </is>
      </c>
      <c r="D80" s="11" t="inlineStr">
        <is>
          <t>The Coyle Group</t>
        </is>
      </c>
      <c r="E80" s="13" t="inlineStr">
        <is>
          <t>karen@thecoylegroup.com</t>
        </is>
      </c>
      <c r="F80" s="14" t="inlineStr">
        <is>
          <t>verified</t>
        </is>
      </c>
      <c r="G80" s="13" t="inlineStr">
        <is>
          <t>/in/karen-coyle-b7679376</t>
        </is>
      </c>
      <c r="H80" s="11" t="inlineStr">
        <is>
          <t>Email</t>
        </is>
      </c>
      <c r="I80" s="12" t="n">
        <v>1</v>
      </c>
      <c r="J80" s="18" t="inlineStr"/>
      <c r="K80" s="18" t="inlineStr"/>
      <c r="L80" s="18" t="inlineStr"/>
      <c r="M80" s="18" t="inlineStr"/>
    </row>
    <row r="81">
      <c r="A81" s="11" t="inlineStr">
        <is>
          <t>RIA platform</t>
        </is>
      </c>
      <c r="B81" s="11" t="inlineStr">
        <is>
          <t>Harris Baltch</t>
        </is>
      </c>
      <c r="C81" s="11" t="inlineStr">
        <is>
          <t>Managing Director, Co-Head of Investment Banking</t>
        </is>
      </c>
      <c r="D81" s="11" t="inlineStr">
        <is>
          <t>Dynasty Financial Partners</t>
        </is>
      </c>
      <c r="E81" s="13" t="inlineStr">
        <is>
          <t>hbaltch@dynastyfp.com</t>
        </is>
      </c>
      <c r="F81" s="14" t="inlineStr">
        <is>
          <t>verified</t>
        </is>
      </c>
      <c r="G81" s="13" t="inlineStr">
        <is>
          <t>/in/harrisbaltch</t>
        </is>
      </c>
      <c r="H81" s="11" t="inlineStr">
        <is>
          <t>Email</t>
        </is>
      </c>
      <c r="I81" s="12" t="n">
        <v>2</v>
      </c>
      <c r="J81" s="18" t="inlineStr"/>
      <c r="K81" s="18" t="inlineStr"/>
      <c r="L81" s="18" t="inlineStr"/>
      <c r="M81" s="18" t="inlineStr"/>
    </row>
    <row r="82">
      <c r="A82" s="11" t="inlineStr">
        <is>
          <t>RIA platform</t>
        </is>
      </c>
      <c r="B82" s="11" t="inlineStr">
        <is>
          <t>Eric Nothstein</t>
        </is>
      </c>
      <c r="C82" s="11" t="inlineStr">
        <is>
          <t>Managing Director, Head of Business Development</t>
        </is>
      </c>
      <c r="D82" s="11" t="inlineStr">
        <is>
          <t>Sanctuary Wealth</t>
        </is>
      </c>
      <c r="E82" s="13" t="inlineStr">
        <is>
          <t>enothstein@sanctuarywealth.com</t>
        </is>
      </c>
      <c r="F82" s="14" t="inlineStr">
        <is>
          <t>verified</t>
        </is>
      </c>
      <c r="G82" s="13" t="inlineStr">
        <is>
          <t>/in/eric-nothstein-6098bb14</t>
        </is>
      </c>
      <c r="H82" s="11" t="inlineStr">
        <is>
          <t>Email</t>
        </is>
      </c>
      <c r="I82" s="12" t="n">
        <v>4</v>
      </c>
      <c r="J82" s="18" t="inlineStr"/>
      <c r="K82" s="18" t="inlineStr"/>
      <c r="L82" s="18" t="inlineStr"/>
      <c r="M82" s="18" t="inlineStr"/>
    </row>
    <row r="83">
      <c r="A83" s="11" t="inlineStr">
        <is>
          <t>Fund administrator</t>
        </is>
      </c>
      <c r="B83" s="11" t="inlineStr">
        <is>
          <t>Casper Calisin</t>
        </is>
      </c>
      <c r="C83" s="11" t="inlineStr">
        <is>
          <t>Managing Director</t>
        </is>
      </c>
      <c r="D83" s="11" t="inlineStr">
        <is>
          <t>HC Global Fund Services, LLC</t>
        </is>
      </c>
      <c r="E83" s="13" t="inlineStr">
        <is>
          <t>ccalisin@hcglobalfs.com</t>
        </is>
      </c>
      <c r="F83" s="14" t="inlineStr">
        <is>
          <t>verified</t>
        </is>
      </c>
      <c r="G83" s="13" t="inlineStr">
        <is>
          <t>/in/casper-calisin-61a2b19</t>
        </is>
      </c>
      <c r="H83" s="11" t="inlineStr">
        <is>
          <t>Email</t>
        </is>
      </c>
      <c r="I83" s="12" t="n">
        <v>1</v>
      </c>
      <c r="J83" s="18" t="inlineStr"/>
      <c r="K83" s="18" t="inlineStr"/>
      <c r="L83" s="18" t="inlineStr"/>
      <c r="M83" s="18" t="inlineStr"/>
    </row>
    <row r="84">
      <c r="A84" s="11" t="inlineStr">
        <is>
          <t>Fund administrator</t>
        </is>
      </c>
      <c r="B84" s="11" t="inlineStr">
        <is>
          <t>Nav Gupta</t>
        </is>
      </c>
      <c r="C84" s="11" t="inlineStr">
        <is>
          <t>CEO</t>
        </is>
      </c>
      <c r="D84" s="11" t="inlineStr">
        <is>
          <t>NAV Fund Services</t>
        </is>
      </c>
      <c r="E84" s="13" t="inlineStr">
        <is>
          <t>nav@navconsulting.net</t>
        </is>
      </c>
      <c r="F84" s="14" t="inlineStr">
        <is>
          <t>verified</t>
        </is>
      </c>
      <c r="G84" s="13" t="inlineStr">
        <is>
          <t>/in/nav-gupta-6b385b7</t>
        </is>
      </c>
      <c r="H84" s="11" t="inlineStr">
        <is>
          <t>Email</t>
        </is>
      </c>
      <c r="I84" s="12" t="n">
        <v>1</v>
      </c>
      <c r="J84" s="18" t="inlineStr"/>
      <c r="K84" s="18" t="inlineStr"/>
      <c r="L84" s="18" t="inlineStr"/>
      <c r="M84" s="18" t="inlineStr"/>
    </row>
    <row r="85">
      <c r="A85" s="11" t="inlineStr">
        <is>
          <t>Fund administrator</t>
        </is>
      </c>
      <c r="B85" s="11" t="inlineStr">
        <is>
          <t>Robert Ansell</t>
        </is>
      </c>
      <c r="C85" s="11" t="inlineStr">
        <is>
          <t>Director, Business Development</t>
        </is>
      </c>
      <c r="D85" s="11" t="inlineStr">
        <is>
          <t>Opus Fund Services</t>
        </is>
      </c>
      <c r="E85" s="13" t="inlineStr">
        <is>
          <t>ransell@opusfundservices.com</t>
        </is>
      </c>
      <c r="F85" s="14" t="inlineStr">
        <is>
          <t>verified</t>
        </is>
      </c>
      <c r="G85" s="13" t="inlineStr">
        <is>
          <t>/in/robert-ansell-015aab255</t>
        </is>
      </c>
      <c r="H85" s="11" t="inlineStr">
        <is>
          <t>Email</t>
        </is>
      </c>
      <c r="I85" s="12" t="n">
        <v>2</v>
      </c>
      <c r="J85" s="18" t="inlineStr"/>
      <c r="K85" s="18" t="inlineStr"/>
      <c r="L85" s="18" t="inlineStr"/>
      <c r="M85" s="18" t="inlineStr"/>
    </row>
    <row r="86">
      <c r="A86" s="11" t="inlineStr">
        <is>
          <t>RIA M&amp;A advisor</t>
        </is>
      </c>
      <c r="B86" s="11" t="inlineStr">
        <is>
          <t>Brandon Kawal</t>
        </is>
      </c>
      <c r="C86" s="11" t="inlineStr">
        <is>
          <t>Partner</t>
        </is>
      </c>
      <c r="D86" s="11" t="inlineStr">
        <is>
          <t>Advisor Growth Strategies LLC</t>
        </is>
      </c>
      <c r="E86" s="13" t="inlineStr">
        <is>
          <t>bkawal@advisorgrowthllc.com</t>
        </is>
      </c>
      <c r="F86" s="14" t="inlineStr">
        <is>
          <t>verified</t>
        </is>
      </c>
      <c r="G86" s="13" t="inlineStr">
        <is>
          <t>/in/brandonkawal</t>
        </is>
      </c>
      <c r="H86" s="11" t="inlineStr">
        <is>
          <t>Email</t>
        </is>
      </c>
      <c r="I86" s="12" t="n">
        <v>0</v>
      </c>
      <c r="J86" s="18" t="inlineStr"/>
      <c r="K86" s="18" t="inlineStr"/>
      <c r="L86" s="18" t="inlineStr"/>
      <c r="M86" s="18" t="inlineStr"/>
    </row>
    <row r="87">
      <c r="A87" s="11" t="inlineStr">
        <is>
          <t>RIA M&amp;A advisor</t>
        </is>
      </c>
      <c r="B87" s="11" t="inlineStr">
        <is>
          <t>Gordon Ross</t>
        </is>
      </c>
      <c r="C87" s="11" t="inlineStr">
        <is>
          <t>President</t>
        </is>
      </c>
      <c r="D87" s="11" t="inlineStr">
        <is>
          <t>DeVoe &amp; Company</t>
        </is>
      </c>
      <c r="E87" s="13" t="inlineStr">
        <is>
          <t>gordon.ross@devoe-co.com</t>
        </is>
      </c>
      <c r="F87" s="14" t="inlineStr">
        <is>
          <t>verified</t>
        </is>
      </c>
      <c r="G87" s="13" t="inlineStr">
        <is>
          <t>/in/gordonross-gla</t>
        </is>
      </c>
      <c r="H87" s="11" t="inlineStr">
        <is>
          <t>Email</t>
        </is>
      </c>
      <c r="I87" s="12" t="n">
        <v>4</v>
      </c>
      <c r="J87" s="18" t="inlineStr"/>
      <c r="K87" s="18" t="inlineStr"/>
      <c r="L87" s="18" t="inlineStr"/>
      <c r="M87" s="18" t="inlineStr"/>
    </row>
    <row r="88">
      <c r="A88" s="11" t="inlineStr">
        <is>
          <t>Securities counsel</t>
        </is>
      </c>
      <c r="B88" s="11" t="inlineStr">
        <is>
          <t>Patricia Klusmeyer</t>
        </is>
      </c>
      <c r="C88" s="11" t="inlineStr">
        <is>
          <t>Partner</t>
        </is>
      </c>
      <c r="D88" s="11" t="inlineStr">
        <is>
          <t>Parker MacIntyre</t>
        </is>
      </c>
      <c r="E88" s="13" t="inlineStr">
        <is>
          <t>pklusmeyer@parkmac.com</t>
        </is>
      </c>
      <c r="F88" s="14" t="inlineStr">
        <is>
          <t>verified</t>
        </is>
      </c>
      <c r="G88" s="13" t="inlineStr">
        <is>
          <t>/in/patricia-klusmeyer-4b6915b</t>
        </is>
      </c>
      <c r="H88" s="11" t="inlineStr">
        <is>
          <t>Email</t>
        </is>
      </c>
      <c r="I88" s="12" t="n">
        <v>1</v>
      </c>
      <c r="J88" s="18" t="inlineStr"/>
      <c r="K88" s="18" t="inlineStr"/>
      <c r="L88" s="18" t="inlineStr"/>
      <c r="M88" s="18" t="inlineStr"/>
    </row>
    <row r="89">
      <c r="A89" s="11" t="inlineStr">
        <is>
          <t>Securities counsel</t>
        </is>
      </c>
      <c r="B89" s="11" t="inlineStr">
        <is>
          <t>John Macdonald</t>
        </is>
      </c>
      <c r="C89" s="11" t="inlineStr">
        <is>
          <t>Partner/Shareholder</t>
        </is>
      </c>
      <c r="D89" s="11" t="inlineStr">
        <is>
          <t>Stark &amp; Stark</t>
        </is>
      </c>
      <c r="E89" s="11" t="inlineStr"/>
      <c r="F89" s="16" t="inlineStr">
        <is>
          <t>unavailable</t>
        </is>
      </c>
      <c r="G89" s="13" t="inlineStr">
        <is>
          <t>/in/john-macdonald-683a0b15</t>
        </is>
      </c>
      <c r="H89" s="11" t="inlineStr">
        <is>
          <t>LinkedIn only</t>
        </is>
      </c>
      <c r="I89" s="12" t="n">
        <v>0</v>
      </c>
      <c r="J89" s="18" t="inlineStr"/>
      <c r="K89" s="18" t="inlineStr"/>
      <c r="L89" s="18" t="inlineStr"/>
      <c r="M89" s="18" t="inlineStr"/>
    </row>
    <row r="90">
      <c r="A90" s="11" t="inlineStr">
        <is>
          <t>Adjacent / weaker fit</t>
        </is>
      </c>
      <c r="B90" s="11" t="inlineStr">
        <is>
          <t>Hanh Nguyen</t>
        </is>
      </c>
      <c r="C90" s="11" t="inlineStr">
        <is>
          <t>Founder</t>
        </is>
      </c>
      <c r="D90" s="11" t="inlineStr">
        <is>
          <t>Complect</t>
        </is>
      </c>
      <c r="E90" s="13" t="inlineStr">
        <is>
          <t>hanh@complect.com</t>
        </is>
      </c>
      <c r="F90" s="14" t="inlineStr">
        <is>
          <t>verified</t>
        </is>
      </c>
      <c r="G90" s="13" t="inlineStr">
        <is>
          <t>/in/hanh-t-nguyen</t>
        </is>
      </c>
      <c r="H90" s="11" t="inlineStr">
        <is>
          <t>Email</t>
        </is>
      </c>
      <c r="I90" s="12" t="n">
        <v>0</v>
      </c>
      <c r="J90" s="18" t="inlineStr"/>
      <c r="K90" s="18" t="inlineStr"/>
      <c r="L90" s="18" t="inlineStr"/>
      <c r="M90" s="18" t="inlineStr"/>
    </row>
    <row r="91">
      <c r="A91" s="11" t="inlineStr">
        <is>
          <t>Adjacent / weaker fit</t>
        </is>
      </c>
      <c r="B91" s="11" t="inlineStr">
        <is>
          <t>Wilfredo Rodriguez</t>
        </is>
      </c>
      <c r="C91" s="11" t="inlineStr">
        <is>
          <t>CEO and Founder</t>
        </is>
      </c>
      <c r="D91" s="11" t="inlineStr">
        <is>
          <t>DSF Advisors LLC</t>
        </is>
      </c>
      <c r="E91" s="13" t="inlineStr">
        <is>
          <t>wrodriguez@dsfadv.com</t>
        </is>
      </c>
      <c r="F91" s="14" t="inlineStr">
        <is>
          <t>verified</t>
        </is>
      </c>
      <c r="G91" s="13" t="inlineStr">
        <is>
          <t>/in/wilfredocpa</t>
        </is>
      </c>
      <c r="H91" s="11" t="inlineStr">
        <is>
          <t>Email</t>
        </is>
      </c>
      <c r="I91" s="12" t="n">
        <v>0</v>
      </c>
      <c r="J91" s="18" t="inlineStr"/>
      <c r="K91" s="18" t="inlineStr"/>
      <c r="L91" s="18" t="inlineStr"/>
      <c r="M91" s="18" t="inlineStr"/>
    </row>
    <row r="92">
      <c r="A92" s="11" t="inlineStr">
        <is>
          <t>Adjacent / weaker fit</t>
        </is>
      </c>
      <c r="B92" s="11" t="inlineStr">
        <is>
          <t>Matthew Lourie</t>
        </is>
      </c>
      <c r="C92" s="11" t="inlineStr">
        <is>
          <t>Founder and CEO</t>
        </is>
      </c>
      <c r="D92" s="11" t="inlineStr">
        <is>
          <t>Fresh Notion Group</t>
        </is>
      </c>
      <c r="E92" s="13" t="inlineStr">
        <is>
          <t>mlourie@freshnotiongroup.com</t>
        </is>
      </c>
      <c r="F92" s="14" t="inlineStr">
        <is>
          <t>verified</t>
        </is>
      </c>
      <c r="G92" s="13" t="inlineStr">
        <is>
          <t>/in/matthew-lourie-19b12a15</t>
        </is>
      </c>
      <c r="H92" s="11" t="inlineStr">
        <is>
          <t>Email</t>
        </is>
      </c>
      <c r="I92" s="12" t="n">
        <v>0</v>
      </c>
      <c r="J92" s="18" t="inlineStr"/>
      <c r="K92" s="18" t="inlineStr"/>
      <c r="L92" s="18" t="inlineStr"/>
      <c r="M92" s="18" t="inlineStr"/>
    </row>
    <row r="93">
      <c r="A93" s="11" t="inlineStr">
        <is>
          <t>Adjacent / weaker fit</t>
        </is>
      </c>
      <c r="B93" s="11" t="inlineStr">
        <is>
          <t>Matthew Judge</t>
        </is>
      </c>
      <c r="C93" s="11" t="inlineStr">
        <is>
          <t>CEO and Founder</t>
        </is>
      </c>
      <c r="D93" s="11" t="inlineStr">
        <is>
          <t>Genesis Filings, LLC</t>
        </is>
      </c>
      <c r="E93" s="13" t="inlineStr">
        <is>
          <t>mjudge@genesisfilings.com</t>
        </is>
      </c>
      <c r="F93" s="14" t="inlineStr">
        <is>
          <t>verified</t>
        </is>
      </c>
      <c r="G93" s="13" t="inlineStr">
        <is>
          <t>/in/matthew-judge74</t>
        </is>
      </c>
      <c r="H93" s="11" t="inlineStr">
        <is>
          <t>Email</t>
        </is>
      </c>
      <c r="I93" s="12" t="n">
        <v>0</v>
      </c>
      <c r="J93" s="18" t="inlineStr"/>
      <c r="K93" s="18" t="inlineStr"/>
      <c r="L93" s="18" t="inlineStr"/>
      <c r="M93" s="18" t="inlineStr"/>
    </row>
    <row r="94">
      <c r="A94" s="11" t="inlineStr">
        <is>
          <t>Adjacent / weaker fit</t>
        </is>
      </c>
      <c r="B94" s="11" t="inlineStr">
        <is>
          <t>George Quinn</t>
        </is>
      </c>
      <c r="C94" s="11" t="inlineStr">
        <is>
          <t>CEO &amp; Founder</t>
        </is>
      </c>
      <c r="D94" s="11" t="inlineStr">
        <is>
          <t>TBH Consulting LLC</t>
        </is>
      </c>
      <c r="E94" s="13" t="inlineStr">
        <is>
          <t>george.quinn@tbhconsulting.com</t>
        </is>
      </c>
      <c r="F94" s="14" t="inlineStr">
        <is>
          <t>verified</t>
        </is>
      </c>
      <c r="G94" s="13" t="inlineStr">
        <is>
          <t>/in/george-quinn-72158389</t>
        </is>
      </c>
      <c r="H94" s="11" t="inlineStr">
        <is>
          <t>Email</t>
        </is>
      </c>
      <c r="I94" s="12" t="n">
        <v>0</v>
      </c>
      <c r="J94" s="18" t="inlineStr"/>
      <c r="K94" s="18" t="inlineStr"/>
      <c r="L94" s="18" t="inlineStr"/>
      <c r="M94" s="18" t="inlineStr"/>
    </row>
  </sheetData>
  <autoFilter ref="A1:M9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G5" r:id="rId7"/>
    <hyperlink xmlns:r="http://schemas.openxmlformats.org/officeDocument/2006/relationships" ref="E6" r:id="rId8"/>
    <hyperlink xmlns:r="http://schemas.openxmlformats.org/officeDocument/2006/relationships" ref="G6" r:id="rId9"/>
    <hyperlink xmlns:r="http://schemas.openxmlformats.org/officeDocument/2006/relationships" ref="E7" r:id="rId10"/>
    <hyperlink xmlns:r="http://schemas.openxmlformats.org/officeDocument/2006/relationships" ref="G7" r:id="rId11"/>
    <hyperlink xmlns:r="http://schemas.openxmlformats.org/officeDocument/2006/relationships" ref="E8" r:id="rId12"/>
    <hyperlink xmlns:r="http://schemas.openxmlformats.org/officeDocument/2006/relationships" ref="G8" r:id="rId13"/>
    <hyperlink xmlns:r="http://schemas.openxmlformats.org/officeDocument/2006/relationships" ref="E9" r:id="rId14"/>
    <hyperlink xmlns:r="http://schemas.openxmlformats.org/officeDocument/2006/relationships" ref="G9" r:id="rId15"/>
    <hyperlink xmlns:r="http://schemas.openxmlformats.org/officeDocument/2006/relationships" ref="E10" r:id="rId16"/>
    <hyperlink xmlns:r="http://schemas.openxmlformats.org/officeDocument/2006/relationships" ref="G10" r:id="rId17"/>
    <hyperlink xmlns:r="http://schemas.openxmlformats.org/officeDocument/2006/relationships" ref="E11" r:id="rId18"/>
    <hyperlink xmlns:r="http://schemas.openxmlformats.org/officeDocument/2006/relationships" ref="G11" r:id="rId19"/>
    <hyperlink xmlns:r="http://schemas.openxmlformats.org/officeDocument/2006/relationships" ref="E12" r:id="rId20"/>
    <hyperlink xmlns:r="http://schemas.openxmlformats.org/officeDocument/2006/relationships" ref="G12" r:id="rId21"/>
    <hyperlink xmlns:r="http://schemas.openxmlformats.org/officeDocument/2006/relationships" ref="E13" r:id="rId22"/>
    <hyperlink xmlns:r="http://schemas.openxmlformats.org/officeDocument/2006/relationships" ref="G13" r:id="rId23"/>
    <hyperlink xmlns:r="http://schemas.openxmlformats.org/officeDocument/2006/relationships" ref="E14" r:id="rId24"/>
    <hyperlink xmlns:r="http://schemas.openxmlformats.org/officeDocument/2006/relationships" ref="G14" r:id="rId25"/>
    <hyperlink xmlns:r="http://schemas.openxmlformats.org/officeDocument/2006/relationships" ref="E15" r:id="rId26"/>
    <hyperlink xmlns:r="http://schemas.openxmlformats.org/officeDocument/2006/relationships" ref="G15" r:id="rId27"/>
    <hyperlink xmlns:r="http://schemas.openxmlformats.org/officeDocument/2006/relationships" ref="E16" r:id="rId28"/>
    <hyperlink xmlns:r="http://schemas.openxmlformats.org/officeDocument/2006/relationships" ref="G16" r:id="rId29"/>
    <hyperlink xmlns:r="http://schemas.openxmlformats.org/officeDocument/2006/relationships" ref="E17" r:id="rId30"/>
    <hyperlink xmlns:r="http://schemas.openxmlformats.org/officeDocument/2006/relationships" ref="G17" r:id="rId31"/>
    <hyperlink xmlns:r="http://schemas.openxmlformats.org/officeDocument/2006/relationships" ref="E18" r:id="rId32"/>
    <hyperlink xmlns:r="http://schemas.openxmlformats.org/officeDocument/2006/relationships" ref="G18" r:id="rId33"/>
    <hyperlink xmlns:r="http://schemas.openxmlformats.org/officeDocument/2006/relationships" ref="E19" r:id="rId34"/>
    <hyperlink xmlns:r="http://schemas.openxmlformats.org/officeDocument/2006/relationships" ref="G19" r:id="rId35"/>
    <hyperlink xmlns:r="http://schemas.openxmlformats.org/officeDocument/2006/relationships" ref="E20" r:id="rId36"/>
    <hyperlink xmlns:r="http://schemas.openxmlformats.org/officeDocument/2006/relationships" ref="G20" r:id="rId37"/>
    <hyperlink xmlns:r="http://schemas.openxmlformats.org/officeDocument/2006/relationships" ref="E21" r:id="rId38"/>
    <hyperlink xmlns:r="http://schemas.openxmlformats.org/officeDocument/2006/relationships" ref="G21" r:id="rId39"/>
    <hyperlink xmlns:r="http://schemas.openxmlformats.org/officeDocument/2006/relationships" ref="E22" r:id="rId40"/>
    <hyperlink xmlns:r="http://schemas.openxmlformats.org/officeDocument/2006/relationships" ref="G22" r:id="rId41"/>
    <hyperlink xmlns:r="http://schemas.openxmlformats.org/officeDocument/2006/relationships" ref="E23" r:id="rId42"/>
    <hyperlink xmlns:r="http://schemas.openxmlformats.org/officeDocument/2006/relationships" ref="G23" r:id="rId43"/>
    <hyperlink xmlns:r="http://schemas.openxmlformats.org/officeDocument/2006/relationships" ref="E24" r:id="rId44"/>
    <hyperlink xmlns:r="http://schemas.openxmlformats.org/officeDocument/2006/relationships" ref="G24" r:id="rId45"/>
    <hyperlink xmlns:r="http://schemas.openxmlformats.org/officeDocument/2006/relationships" ref="E25" r:id="rId46"/>
    <hyperlink xmlns:r="http://schemas.openxmlformats.org/officeDocument/2006/relationships" ref="G25" r:id="rId47"/>
    <hyperlink xmlns:r="http://schemas.openxmlformats.org/officeDocument/2006/relationships" ref="E26" r:id="rId48"/>
    <hyperlink xmlns:r="http://schemas.openxmlformats.org/officeDocument/2006/relationships" ref="G26" r:id="rId49"/>
    <hyperlink xmlns:r="http://schemas.openxmlformats.org/officeDocument/2006/relationships" ref="E27" r:id="rId50"/>
    <hyperlink xmlns:r="http://schemas.openxmlformats.org/officeDocument/2006/relationships" ref="G27" r:id="rId51"/>
    <hyperlink xmlns:r="http://schemas.openxmlformats.org/officeDocument/2006/relationships" ref="G28" r:id="rId52"/>
    <hyperlink xmlns:r="http://schemas.openxmlformats.org/officeDocument/2006/relationships" ref="E29" r:id="rId53"/>
    <hyperlink xmlns:r="http://schemas.openxmlformats.org/officeDocument/2006/relationships" ref="G29" r:id="rId54"/>
    <hyperlink xmlns:r="http://schemas.openxmlformats.org/officeDocument/2006/relationships" ref="G30" r:id="rId55"/>
    <hyperlink xmlns:r="http://schemas.openxmlformats.org/officeDocument/2006/relationships" ref="E31" r:id="rId56"/>
    <hyperlink xmlns:r="http://schemas.openxmlformats.org/officeDocument/2006/relationships" ref="G31" r:id="rId57"/>
    <hyperlink xmlns:r="http://schemas.openxmlformats.org/officeDocument/2006/relationships" ref="E32" r:id="rId58"/>
    <hyperlink xmlns:r="http://schemas.openxmlformats.org/officeDocument/2006/relationships" ref="G32" r:id="rId59"/>
    <hyperlink xmlns:r="http://schemas.openxmlformats.org/officeDocument/2006/relationships" ref="E33" r:id="rId60"/>
    <hyperlink xmlns:r="http://schemas.openxmlformats.org/officeDocument/2006/relationships" ref="G33" r:id="rId61"/>
    <hyperlink xmlns:r="http://schemas.openxmlformats.org/officeDocument/2006/relationships" ref="E34" r:id="rId62"/>
    <hyperlink xmlns:r="http://schemas.openxmlformats.org/officeDocument/2006/relationships" ref="G34" r:id="rId63"/>
    <hyperlink xmlns:r="http://schemas.openxmlformats.org/officeDocument/2006/relationships" ref="G35" r:id="rId64"/>
    <hyperlink xmlns:r="http://schemas.openxmlformats.org/officeDocument/2006/relationships" ref="E36" r:id="rId65"/>
    <hyperlink xmlns:r="http://schemas.openxmlformats.org/officeDocument/2006/relationships" ref="G36" r:id="rId66"/>
    <hyperlink xmlns:r="http://schemas.openxmlformats.org/officeDocument/2006/relationships" ref="E37" r:id="rId67"/>
    <hyperlink xmlns:r="http://schemas.openxmlformats.org/officeDocument/2006/relationships" ref="G37" r:id="rId68"/>
    <hyperlink xmlns:r="http://schemas.openxmlformats.org/officeDocument/2006/relationships" ref="E38" r:id="rId69"/>
    <hyperlink xmlns:r="http://schemas.openxmlformats.org/officeDocument/2006/relationships" ref="G38" r:id="rId70"/>
    <hyperlink xmlns:r="http://schemas.openxmlformats.org/officeDocument/2006/relationships" ref="E39" r:id="rId71"/>
    <hyperlink xmlns:r="http://schemas.openxmlformats.org/officeDocument/2006/relationships" ref="G39" r:id="rId72"/>
    <hyperlink xmlns:r="http://schemas.openxmlformats.org/officeDocument/2006/relationships" ref="E40" r:id="rId73"/>
    <hyperlink xmlns:r="http://schemas.openxmlformats.org/officeDocument/2006/relationships" ref="G40" r:id="rId74"/>
    <hyperlink xmlns:r="http://schemas.openxmlformats.org/officeDocument/2006/relationships" ref="E41" r:id="rId75"/>
    <hyperlink xmlns:r="http://schemas.openxmlformats.org/officeDocument/2006/relationships" ref="G41" r:id="rId76"/>
    <hyperlink xmlns:r="http://schemas.openxmlformats.org/officeDocument/2006/relationships" ref="G42" r:id="rId77"/>
    <hyperlink xmlns:r="http://schemas.openxmlformats.org/officeDocument/2006/relationships" ref="E43" r:id="rId78"/>
    <hyperlink xmlns:r="http://schemas.openxmlformats.org/officeDocument/2006/relationships" ref="G43" r:id="rId79"/>
    <hyperlink xmlns:r="http://schemas.openxmlformats.org/officeDocument/2006/relationships" ref="E44" r:id="rId80"/>
    <hyperlink xmlns:r="http://schemas.openxmlformats.org/officeDocument/2006/relationships" ref="G44" r:id="rId81"/>
    <hyperlink xmlns:r="http://schemas.openxmlformats.org/officeDocument/2006/relationships" ref="E45" r:id="rId82"/>
    <hyperlink xmlns:r="http://schemas.openxmlformats.org/officeDocument/2006/relationships" ref="G45" r:id="rId83"/>
    <hyperlink xmlns:r="http://schemas.openxmlformats.org/officeDocument/2006/relationships" ref="E46" r:id="rId84"/>
    <hyperlink xmlns:r="http://schemas.openxmlformats.org/officeDocument/2006/relationships" ref="G46" r:id="rId85"/>
    <hyperlink xmlns:r="http://schemas.openxmlformats.org/officeDocument/2006/relationships" ref="E47" r:id="rId86"/>
    <hyperlink xmlns:r="http://schemas.openxmlformats.org/officeDocument/2006/relationships" ref="G47" r:id="rId87"/>
    <hyperlink xmlns:r="http://schemas.openxmlformats.org/officeDocument/2006/relationships" ref="E48" r:id="rId88"/>
    <hyperlink xmlns:r="http://schemas.openxmlformats.org/officeDocument/2006/relationships" ref="G48" r:id="rId89"/>
    <hyperlink xmlns:r="http://schemas.openxmlformats.org/officeDocument/2006/relationships" ref="E49" r:id="rId90"/>
    <hyperlink xmlns:r="http://schemas.openxmlformats.org/officeDocument/2006/relationships" ref="G49" r:id="rId91"/>
    <hyperlink xmlns:r="http://schemas.openxmlformats.org/officeDocument/2006/relationships" ref="E50" r:id="rId92"/>
    <hyperlink xmlns:r="http://schemas.openxmlformats.org/officeDocument/2006/relationships" ref="G50" r:id="rId93"/>
    <hyperlink xmlns:r="http://schemas.openxmlformats.org/officeDocument/2006/relationships" ref="E51" r:id="rId94"/>
    <hyperlink xmlns:r="http://schemas.openxmlformats.org/officeDocument/2006/relationships" ref="G51" r:id="rId95"/>
    <hyperlink xmlns:r="http://schemas.openxmlformats.org/officeDocument/2006/relationships" ref="E52" r:id="rId96"/>
    <hyperlink xmlns:r="http://schemas.openxmlformats.org/officeDocument/2006/relationships" ref="G52" r:id="rId97"/>
    <hyperlink xmlns:r="http://schemas.openxmlformats.org/officeDocument/2006/relationships" ref="E53" r:id="rId98"/>
    <hyperlink xmlns:r="http://schemas.openxmlformats.org/officeDocument/2006/relationships" ref="G53" r:id="rId99"/>
    <hyperlink xmlns:r="http://schemas.openxmlformats.org/officeDocument/2006/relationships" ref="E54" r:id="rId100"/>
    <hyperlink xmlns:r="http://schemas.openxmlformats.org/officeDocument/2006/relationships" ref="G54" r:id="rId101"/>
    <hyperlink xmlns:r="http://schemas.openxmlformats.org/officeDocument/2006/relationships" ref="E55" r:id="rId102"/>
    <hyperlink xmlns:r="http://schemas.openxmlformats.org/officeDocument/2006/relationships" ref="G55" r:id="rId103"/>
    <hyperlink xmlns:r="http://schemas.openxmlformats.org/officeDocument/2006/relationships" ref="E56" r:id="rId104"/>
    <hyperlink xmlns:r="http://schemas.openxmlformats.org/officeDocument/2006/relationships" ref="G56" r:id="rId105"/>
    <hyperlink xmlns:r="http://schemas.openxmlformats.org/officeDocument/2006/relationships" ref="G57" r:id="rId106"/>
    <hyperlink xmlns:r="http://schemas.openxmlformats.org/officeDocument/2006/relationships" ref="E58" r:id="rId107"/>
    <hyperlink xmlns:r="http://schemas.openxmlformats.org/officeDocument/2006/relationships" ref="G58" r:id="rId108"/>
    <hyperlink xmlns:r="http://schemas.openxmlformats.org/officeDocument/2006/relationships" ref="E59" r:id="rId109"/>
    <hyperlink xmlns:r="http://schemas.openxmlformats.org/officeDocument/2006/relationships" ref="G59" r:id="rId110"/>
    <hyperlink xmlns:r="http://schemas.openxmlformats.org/officeDocument/2006/relationships" ref="E60" r:id="rId111"/>
    <hyperlink xmlns:r="http://schemas.openxmlformats.org/officeDocument/2006/relationships" ref="G60" r:id="rId112"/>
    <hyperlink xmlns:r="http://schemas.openxmlformats.org/officeDocument/2006/relationships" ref="G61" r:id="rId113"/>
    <hyperlink xmlns:r="http://schemas.openxmlformats.org/officeDocument/2006/relationships" ref="E62" r:id="rId114"/>
    <hyperlink xmlns:r="http://schemas.openxmlformats.org/officeDocument/2006/relationships" ref="G62" r:id="rId115"/>
    <hyperlink xmlns:r="http://schemas.openxmlformats.org/officeDocument/2006/relationships" ref="E63" r:id="rId116"/>
    <hyperlink xmlns:r="http://schemas.openxmlformats.org/officeDocument/2006/relationships" ref="G63" r:id="rId117"/>
    <hyperlink xmlns:r="http://schemas.openxmlformats.org/officeDocument/2006/relationships" ref="E64" r:id="rId118"/>
    <hyperlink xmlns:r="http://schemas.openxmlformats.org/officeDocument/2006/relationships" ref="G64" r:id="rId119"/>
    <hyperlink xmlns:r="http://schemas.openxmlformats.org/officeDocument/2006/relationships" ref="E65" r:id="rId120"/>
    <hyperlink xmlns:r="http://schemas.openxmlformats.org/officeDocument/2006/relationships" ref="G65" r:id="rId121"/>
    <hyperlink xmlns:r="http://schemas.openxmlformats.org/officeDocument/2006/relationships" ref="E66" r:id="rId122"/>
    <hyperlink xmlns:r="http://schemas.openxmlformats.org/officeDocument/2006/relationships" ref="G66" r:id="rId123"/>
    <hyperlink xmlns:r="http://schemas.openxmlformats.org/officeDocument/2006/relationships" ref="E67" r:id="rId124"/>
    <hyperlink xmlns:r="http://schemas.openxmlformats.org/officeDocument/2006/relationships" ref="G67" r:id="rId125"/>
    <hyperlink xmlns:r="http://schemas.openxmlformats.org/officeDocument/2006/relationships" ref="E68" r:id="rId126"/>
    <hyperlink xmlns:r="http://schemas.openxmlformats.org/officeDocument/2006/relationships" ref="G68" r:id="rId127"/>
    <hyperlink xmlns:r="http://schemas.openxmlformats.org/officeDocument/2006/relationships" ref="E69" r:id="rId128"/>
    <hyperlink xmlns:r="http://schemas.openxmlformats.org/officeDocument/2006/relationships" ref="G69" r:id="rId129"/>
    <hyperlink xmlns:r="http://schemas.openxmlformats.org/officeDocument/2006/relationships" ref="E70" r:id="rId130"/>
    <hyperlink xmlns:r="http://schemas.openxmlformats.org/officeDocument/2006/relationships" ref="G70" r:id="rId131"/>
    <hyperlink xmlns:r="http://schemas.openxmlformats.org/officeDocument/2006/relationships" ref="E71" r:id="rId132"/>
    <hyperlink xmlns:r="http://schemas.openxmlformats.org/officeDocument/2006/relationships" ref="G71" r:id="rId133"/>
    <hyperlink xmlns:r="http://schemas.openxmlformats.org/officeDocument/2006/relationships" ref="E72" r:id="rId134"/>
    <hyperlink xmlns:r="http://schemas.openxmlformats.org/officeDocument/2006/relationships" ref="G72" r:id="rId135"/>
    <hyperlink xmlns:r="http://schemas.openxmlformats.org/officeDocument/2006/relationships" ref="E73" r:id="rId136"/>
    <hyperlink xmlns:r="http://schemas.openxmlformats.org/officeDocument/2006/relationships" ref="G73" r:id="rId137"/>
    <hyperlink xmlns:r="http://schemas.openxmlformats.org/officeDocument/2006/relationships" ref="E74" r:id="rId138"/>
    <hyperlink xmlns:r="http://schemas.openxmlformats.org/officeDocument/2006/relationships" ref="G74" r:id="rId139"/>
    <hyperlink xmlns:r="http://schemas.openxmlformats.org/officeDocument/2006/relationships" ref="G75" r:id="rId140"/>
    <hyperlink xmlns:r="http://schemas.openxmlformats.org/officeDocument/2006/relationships" ref="E76" r:id="rId141"/>
    <hyperlink xmlns:r="http://schemas.openxmlformats.org/officeDocument/2006/relationships" ref="G76" r:id="rId142"/>
    <hyperlink xmlns:r="http://schemas.openxmlformats.org/officeDocument/2006/relationships" ref="E77" r:id="rId143"/>
    <hyperlink xmlns:r="http://schemas.openxmlformats.org/officeDocument/2006/relationships" ref="G77" r:id="rId144"/>
    <hyperlink xmlns:r="http://schemas.openxmlformats.org/officeDocument/2006/relationships" ref="E78" r:id="rId145"/>
    <hyperlink xmlns:r="http://schemas.openxmlformats.org/officeDocument/2006/relationships" ref="G78" r:id="rId146"/>
    <hyperlink xmlns:r="http://schemas.openxmlformats.org/officeDocument/2006/relationships" ref="E79" r:id="rId147"/>
    <hyperlink xmlns:r="http://schemas.openxmlformats.org/officeDocument/2006/relationships" ref="G79" r:id="rId148"/>
    <hyperlink xmlns:r="http://schemas.openxmlformats.org/officeDocument/2006/relationships" ref="E80" r:id="rId149"/>
    <hyperlink xmlns:r="http://schemas.openxmlformats.org/officeDocument/2006/relationships" ref="G80" r:id="rId150"/>
    <hyperlink xmlns:r="http://schemas.openxmlformats.org/officeDocument/2006/relationships" ref="E81" r:id="rId151"/>
    <hyperlink xmlns:r="http://schemas.openxmlformats.org/officeDocument/2006/relationships" ref="G81" r:id="rId152"/>
    <hyperlink xmlns:r="http://schemas.openxmlformats.org/officeDocument/2006/relationships" ref="E82" r:id="rId153"/>
    <hyperlink xmlns:r="http://schemas.openxmlformats.org/officeDocument/2006/relationships" ref="G82" r:id="rId154"/>
    <hyperlink xmlns:r="http://schemas.openxmlformats.org/officeDocument/2006/relationships" ref="E83" r:id="rId155"/>
    <hyperlink xmlns:r="http://schemas.openxmlformats.org/officeDocument/2006/relationships" ref="G83" r:id="rId156"/>
    <hyperlink xmlns:r="http://schemas.openxmlformats.org/officeDocument/2006/relationships" ref="E84" r:id="rId157"/>
    <hyperlink xmlns:r="http://schemas.openxmlformats.org/officeDocument/2006/relationships" ref="G84" r:id="rId158"/>
    <hyperlink xmlns:r="http://schemas.openxmlformats.org/officeDocument/2006/relationships" ref="E85" r:id="rId159"/>
    <hyperlink xmlns:r="http://schemas.openxmlformats.org/officeDocument/2006/relationships" ref="G85" r:id="rId160"/>
    <hyperlink xmlns:r="http://schemas.openxmlformats.org/officeDocument/2006/relationships" ref="E86" r:id="rId161"/>
    <hyperlink xmlns:r="http://schemas.openxmlformats.org/officeDocument/2006/relationships" ref="G86" r:id="rId162"/>
    <hyperlink xmlns:r="http://schemas.openxmlformats.org/officeDocument/2006/relationships" ref="E87" r:id="rId163"/>
    <hyperlink xmlns:r="http://schemas.openxmlformats.org/officeDocument/2006/relationships" ref="G87" r:id="rId164"/>
    <hyperlink xmlns:r="http://schemas.openxmlformats.org/officeDocument/2006/relationships" ref="E88" r:id="rId165"/>
    <hyperlink xmlns:r="http://schemas.openxmlformats.org/officeDocument/2006/relationships" ref="G88" r:id="rId166"/>
    <hyperlink xmlns:r="http://schemas.openxmlformats.org/officeDocument/2006/relationships" ref="G89" r:id="rId167"/>
    <hyperlink xmlns:r="http://schemas.openxmlformats.org/officeDocument/2006/relationships" ref="E90" r:id="rId168"/>
    <hyperlink xmlns:r="http://schemas.openxmlformats.org/officeDocument/2006/relationships" ref="G90" r:id="rId169"/>
    <hyperlink xmlns:r="http://schemas.openxmlformats.org/officeDocument/2006/relationships" ref="E91" r:id="rId170"/>
    <hyperlink xmlns:r="http://schemas.openxmlformats.org/officeDocument/2006/relationships" ref="G91" r:id="rId171"/>
    <hyperlink xmlns:r="http://schemas.openxmlformats.org/officeDocument/2006/relationships" ref="E92" r:id="rId172"/>
    <hyperlink xmlns:r="http://schemas.openxmlformats.org/officeDocument/2006/relationships" ref="G92" r:id="rId173"/>
    <hyperlink xmlns:r="http://schemas.openxmlformats.org/officeDocument/2006/relationships" ref="E93" r:id="rId174"/>
    <hyperlink xmlns:r="http://schemas.openxmlformats.org/officeDocument/2006/relationships" ref="G93" r:id="rId175"/>
    <hyperlink xmlns:r="http://schemas.openxmlformats.org/officeDocument/2006/relationships" ref="E94" r:id="rId176"/>
    <hyperlink xmlns:r="http://schemas.openxmlformats.org/officeDocument/2006/relationships" ref="G94" r:id="rId1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2026-08-07T17:19:34Z</dcterms:created>
  <dcterms:modified xsi:type="dcterms:W3CDTF">2026-08-07T17:31:42Z</dcterms:modified>
</cp:coreProperties>
</file>